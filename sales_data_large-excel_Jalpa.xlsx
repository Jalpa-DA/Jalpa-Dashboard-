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38\Desktop\Jalpa Project\"/>
    </mc:Choice>
  </mc:AlternateContent>
  <xr:revisionPtr revIDLastSave="0" documentId="13_ncr:1_{FD2EA448-7D02-471D-B374-7CE8675D7908}" xr6:coauthVersionLast="47" xr6:coauthVersionMax="47" xr10:uidLastSave="{00000000-0000-0000-0000-000000000000}"/>
  <bookViews>
    <workbookView xWindow="-120" yWindow="-120" windowWidth="29040" windowHeight="15720" activeTab="4" xr2:uid="{00000000-000D-0000-FFFF-FFFF00000000}"/>
  </bookViews>
  <sheets>
    <sheet name="sales_data_large" sheetId="1" r:id="rId1"/>
    <sheet name="Pivot Tables" sheetId="2" r:id="rId2"/>
    <sheet name="Dashboard" sheetId="3" r:id="rId3"/>
    <sheet name="Pivot Table-1" sheetId="5" r:id="rId4"/>
    <sheet name="Dashboard - 1" sheetId="6" r:id="rId5"/>
  </sheets>
  <definedNames>
    <definedName name="_xlnm._FilterDatabase" localSheetId="0" hidden="1">sales_data_large!$A$1:$J$301</definedName>
    <definedName name="Slicer_Category">#N/A</definedName>
    <definedName name="Slicer_Channel">#N/A</definedName>
    <definedName name="Slicer_Months">#N/A</definedName>
    <definedName name="Slicer_Months1">#N/A</definedName>
    <definedName name="Slicer_Product">#N/A</definedName>
    <definedName name="Slicer_Region">#N/A</definedName>
    <definedName name="Slicer_Region1">#N/A</definedName>
  </definedNames>
  <calcPr calcId="191029"/>
  <pivotCaches>
    <pivotCache cacheId="1" r:id="rId6"/>
    <pivotCache cacheId="8"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02" i="1" l="1"/>
  <c r="F302" i="1"/>
  <c r="J302" i="1"/>
  <c r="I302" i="1"/>
  <c r="H24" i="5"/>
  <c r="H23" i="5"/>
  <c r="H22" i="5"/>
</calcChain>
</file>

<file path=xl/sharedStrings.xml><?xml version="1.0" encoding="utf-8"?>
<sst xmlns="http://schemas.openxmlformats.org/spreadsheetml/2006/main" count="1770" uniqueCount="64">
  <si>
    <t>OrderID</t>
  </si>
  <si>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</si>
  <si>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</si>
  <si>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</si>
  <si>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</si>
  <si>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</si>
  <si>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</si>
  <si>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</si>
  <si>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</si>
  <si>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</si>
  <si>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</si>
  <si>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</si>
  <si>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</si>
  <si>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</si>
  <si>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</si>
  <si>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</si>
  <si>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</si>
  <si>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</si>
  <si>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</si>
  <si>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</si>
  <si>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</si>
  <si>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</si>
  <si>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</si>
  <si>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</si>
  <si>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</si>
  <si>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</si>
  <si>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</si>
  <si>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</si>
  <si>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</si>
  <si>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</si>
  <si>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</si>
  <si>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</si>
  <si>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</si>
  <si>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</si>
  <si>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</si>
  <si>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</si>
  <si>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</si>
  <si>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Row Labels</t>
  </si>
  <si>
    <t>Sum of Total</t>
  </si>
  <si>
    <t>Sum of Sales</t>
  </si>
  <si>
    <t>Sum of Profit</t>
  </si>
  <si>
    <t>Sum of Quantity</t>
  </si>
  <si>
    <t>Apr</t>
  </si>
  <si>
    <t>Total Sales</t>
  </si>
  <si>
    <t>Total Qty</t>
  </si>
  <si>
    <t>Total Profit</t>
  </si>
  <si>
    <t>Jan</t>
  </si>
  <si>
    <t>Feb</t>
  </si>
  <si>
    <t>Mar</t>
  </si>
  <si>
    <t>May</t>
  </si>
  <si>
    <t>Jun</t>
  </si>
  <si>
    <t>Jul</t>
  </si>
  <si>
    <t>Aug</t>
  </si>
  <si>
    <t>Sep</t>
  </si>
  <si>
    <t>Oct</t>
  </si>
  <si>
    <t>Affiliates</t>
  </si>
  <si>
    <t>Ecommerce</t>
  </si>
  <si>
    <t>Social Media</t>
  </si>
  <si>
    <t>Stores</t>
  </si>
  <si>
    <t>Channel</t>
  </si>
  <si>
    <t>Column Labels</t>
  </si>
  <si>
    <t>Profit %</t>
  </si>
  <si>
    <t>Total Amount</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</si>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</sst>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9"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0" xfId="0" applyBorder="1"/>
    <xf numFmtId="14" fontId="0" fillId="0" borderId="10" xfId="0" applyNumberFormat="1" applyBorder="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0" borderId="11" xfId="0" applyNumberFormat="1" applyBorder="1"/>
    <xf numFmtId="0" fontId="0" fillId="0" borderId="12" xfId="0" applyNumberFormat="1" applyBorder="1"/>
    <xf numFmtId="0" fontId="0" fillId="34" borderId="0" xfId="0" applyFill="1"/>
    <xf numFmtId="0" fontId="0" fillId="0" borderId="13" xfId="0" applyNumberFormat="1" applyBorder="1"/>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0" borderId="0" xfId="0" applyAlignment="1">
      <alignment horizontal="left" indent="1"/>
    </xf>
    <xf numFmtId="0" fontId="18" fillId="33" borderId="10" xfId="0" applyFont="1" applyFill="1" applyBorder="1"/>
    <xf numFmtId="0" fontId="6" fillId="2" borderId="10" xfId="6" applyBorder="1" applyAlignment="1">
      <alignment horizontal="left"/>
    </xf>
    <xf numFmtId="0" fontId="6" fillId="2" borderId="10" xfId="6"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Category</a:t>
            </a:r>
            <a:r>
              <a:rPr lang="en-IN" b="1" baseline="0"/>
              <a:t>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51344984332228"/>
          <c:y val="0.17302898113345588"/>
          <c:w val="0.82628488548661749"/>
          <c:h val="0.69129797799665282"/>
        </c:manualLayout>
      </c:layout>
      <c:bar3DChart>
        <c:barDir val="col"/>
        <c:grouping val="clustered"/>
        <c:varyColors val="0"/>
        <c:ser>
          <c:idx val="0"/>
          <c:order val="0"/>
          <c:tx>
            <c:strRef>
              <c:f>'Pivot Tables'!$J$3</c:f>
              <c:strCache>
                <c:ptCount val="1"/>
                <c:pt idx="0">
                  <c:v>Sum of Total</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Tables'!$I$4:$I$24</c:f>
              <c:multiLvlStrCache>
                <c:ptCount val="1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lvl>
                <c:lvl>
                  <c:pt idx="0">
                    <c:v>Accessories</c:v>
                  </c:pt>
                  <c:pt idx="4">
                    <c:v>Clothing</c:v>
                  </c:pt>
                  <c:pt idx="8">
                    <c:v>Electronics</c:v>
                  </c:pt>
                  <c:pt idx="12">
                    <c:v>Home Appliances</c:v>
                  </c:pt>
                </c:lvl>
              </c:multiLvlStrCache>
            </c:multiLvlStrRef>
          </c:cat>
          <c:val>
            <c:numRef>
              <c:f>'Pivot Tables'!$J$4:$J$24</c:f>
              <c:numCache>
                <c:formatCode>General</c:formatCode>
                <c:ptCount val="16"/>
                <c:pt idx="0">
                  <c:v>2058470</c:v>
                </c:pt>
                <c:pt idx="1">
                  <c:v>1298850</c:v>
                </c:pt>
                <c:pt idx="2">
                  <c:v>2600826</c:v>
                </c:pt>
                <c:pt idx="3">
                  <c:v>1681678</c:v>
                </c:pt>
                <c:pt idx="4">
                  <c:v>1686199</c:v>
                </c:pt>
                <c:pt idx="5">
                  <c:v>3320515</c:v>
                </c:pt>
                <c:pt idx="6">
                  <c:v>658400</c:v>
                </c:pt>
                <c:pt idx="7">
                  <c:v>2231858</c:v>
                </c:pt>
                <c:pt idx="8">
                  <c:v>2656174</c:v>
                </c:pt>
                <c:pt idx="9">
                  <c:v>4421167</c:v>
                </c:pt>
                <c:pt idx="10">
                  <c:v>2479798</c:v>
                </c:pt>
                <c:pt idx="11">
                  <c:v>3386195</c:v>
                </c:pt>
                <c:pt idx="12">
                  <c:v>1091726</c:v>
                </c:pt>
                <c:pt idx="13">
                  <c:v>1675652</c:v>
                </c:pt>
                <c:pt idx="14">
                  <c:v>2410739</c:v>
                </c:pt>
                <c:pt idx="15">
                  <c:v>3568844</c:v>
                </c:pt>
              </c:numCache>
            </c:numRef>
          </c:val>
          <c:extLst>
            <c:ext xmlns:c16="http://schemas.microsoft.com/office/drawing/2014/chart" uri="{C3380CC4-5D6E-409C-BE32-E72D297353CC}">
              <c16:uniqueId val="{00000000-5498-4406-90D7-3919C54A6323}"/>
            </c:ext>
          </c:extLst>
        </c:ser>
        <c:ser>
          <c:idx val="1"/>
          <c:order val="1"/>
          <c:tx>
            <c:strRef>
              <c:f>'Pivot Tables'!$K$3</c:f>
              <c:strCache>
                <c:ptCount val="1"/>
                <c:pt idx="0">
                  <c:v>Sum of Sales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Tables'!$I$4:$I$24</c:f>
              <c:multiLvlStrCache>
                <c:ptCount val="1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lvl>
                <c:lvl>
                  <c:pt idx="0">
                    <c:v>Accessories</c:v>
                  </c:pt>
                  <c:pt idx="4">
                    <c:v>Clothing</c:v>
                  </c:pt>
                  <c:pt idx="8">
                    <c:v>Electronics</c:v>
                  </c:pt>
                  <c:pt idx="12">
                    <c:v>Home Appliances</c:v>
                  </c:pt>
                </c:lvl>
              </c:multiLvlStrCache>
            </c:multiLvlStrRef>
          </c:cat>
          <c:val>
            <c:numRef>
              <c:f>'Pivot Tables'!$K$4:$K$24</c:f>
              <c:numCache>
                <c:formatCode>General</c:formatCode>
                <c:ptCount val="16"/>
                <c:pt idx="0">
                  <c:v>364178</c:v>
                </c:pt>
                <c:pt idx="1">
                  <c:v>381154</c:v>
                </c:pt>
                <c:pt idx="2">
                  <c:v>556186</c:v>
                </c:pt>
                <c:pt idx="3">
                  <c:v>315038</c:v>
                </c:pt>
                <c:pt idx="4">
                  <c:v>357746</c:v>
                </c:pt>
                <c:pt idx="5">
                  <c:v>492456</c:v>
                </c:pt>
                <c:pt idx="6">
                  <c:v>218130</c:v>
                </c:pt>
                <c:pt idx="7">
                  <c:v>491632</c:v>
                </c:pt>
                <c:pt idx="8">
                  <c:v>625468</c:v>
                </c:pt>
                <c:pt idx="9">
                  <c:v>842967</c:v>
                </c:pt>
                <c:pt idx="10">
                  <c:v>510788</c:v>
                </c:pt>
                <c:pt idx="11">
                  <c:v>635046</c:v>
                </c:pt>
                <c:pt idx="12">
                  <c:v>239464</c:v>
                </c:pt>
                <c:pt idx="13">
                  <c:v>361380</c:v>
                </c:pt>
                <c:pt idx="14">
                  <c:v>564193</c:v>
                </c:pt>
                <c:pt idx="15">
                  <c:v>706959</c:v>
                </c:pt>
              </c:numCache>
            </c:numRef>
          </c:val>
          <c:extLst>
            <c:ext xmlns:c16="http://schemas.microsoft.com/office/drawing/2014/chart" uri="{C3380CC4-5D6E-409C-BE32-E72D297353CC}">
              <c16:uniqueId val="{00000001-5498-4406-90D7-3919C54A6323}"/>
            </c:ext>
          </c:extLst>
        </c:ser>
        <c:dLbls>
          <c:showLegendKey val="0"/>
          <c:showVal val="0"/>
          <c:showCatName val="0"/>
          <c:showSerName val="0"/>
          <c:showPercent val="0"/>
          <c:showBubbleSize val="0"/>
        </c:dLbls>
        <c:gapWidth val="150"/>
        <c:shape val="box"/>
        <c:axId val="471093376"/>
        <c:axId val="471098368"/>
        <c:axId val="0"/>
      </c:bar3DChart>
      <c:catAx>
        <c:axId val="47109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98368"/>
        <c:crosses val="autoZero"/>
        <c:auto val="1"/>
        <c:lblAlgn val="ctr"/>
        <c:lblOffset val="100"/>
        <c:noMultiLvlLbl val="0"/>
      </c:catAx>
      <c:valAx>
        <c:axId val="47109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93376"/>
        <c:crosses val="autoZero"/>
        <c:crossBetween val="between"/>
      </c:valAx>
      <c:spPr>
        <a:noFill/>
        <a:ln>
          <a:noFill/>
        </a:ln>
        <a:effectLst/>
      </c:spPr>
    </c:plotArea>
    <c:legend>
      <c:legendPos val="r"/>
      <c:layout>
        <c:manualLayout>
          <c:xMode val="edge"/>
          <c:yMode val="edge"/>
          <c:x val="0.77609691660565672"/>
          <c:y val="3.4774067875661854E-2"/>
          <c:w val="0.20457940699643881"/>
          <c:h val="0.21965047052045322"/>
        </c:manualLayout>
      </c:layout>
      <c:overlay val="0"/>
      <c:spPr>
        <a:noFill/>
        <a:ln>
          <a:solidFill>
            <a:schemeClr val="tx1">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Tables!PivotTable5</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Categories </a:t>
            </a:r>
          </a:p>
        </c:rich>
      </c:tx>
      <c:layout>
        <c:manualLayout>
          <c:xMode val="edge"/>
          <c:yMode val="edge"/>
          <c:x val="0.33294648613797545"/>
          <c:y val="6.73492888487753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2155175477339994E-2"/>
              <c:y val="3.55590136213210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2.0752778243145139E-2"/>
              <c:y val="6.4708018217090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9.6133863344451384E-2"/>
              <c:y val="-0.1674470137873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2.9781243495433478E-2"/>
              <c:y val="-0.1315390121689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3013092899172"/>
          <c:y val="0.27331777203738861"/>
          <c:w val="0.3040501175264117"/>
          <c:h val="0.62131980538005871"/>
        </c:manualLayout>
      </c:layout>
      <c:pieChart>
        <c:varyColors val="1"/>
        <c:ser>
          <c:idx val="0"/>
          <c:order val="0"/>
          <c:tx>
            <c:strRef>
              <c:f>'Pivot Tables'!$F$12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2-4482-B855-0D3EFE0B14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2-4482-B855-0D3EFE0B14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22-4482-B855-0D3EFE0B14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22-4482-B855-0D3EFE0B1458}"/>
              </c:ext>
            </c:extLst>
          </c:dPt>
          <c:dLbls>
            <c:dLbl>
              <c:idx val="0"/>
              <c:layout>
                <c:manualLayout>
                  <c:x val="6.2155175477339994E-2"/>
                  <c:y val="3.5559013621321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22-4482-B855-0D3EFE0B1458}"/>
                </c:ext>
              </c:extLst>
            </c:dLbl>
            <c:dLbl>
              <c:idx val="1"/>
              <c:layout>
                <c:manualLayout>
                  <c:x val="2.0752778243145139E-2"/>
                  <c:y val="6.4708018217090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22-4482-B855-0D3EFE0B1458}"/>
                </c:ext>
              </c:extLst>
            </c:dLbl>
            <c:dLbl>
              <c:idx val="2"/>
              <c:layout>
                <c:manualLayout>
                  <c:x val="-9.6133863344451384E-2"/>
                  <c:y val="-0.1674470137873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22-4482-B855-0D3EFE0B1458}"/>
                </c:ext>
              </c:extLst>
            </c:dLbl>
            <c:dLbl>
              <c:idx val="3"/>
              <c:layout>
                <c:manualLayout>
                  <c:x val="2.9781243495433478E-2"/>
                  <c:y val="-0.1315390121689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22-4482-B855-0D3EFE0B14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Tables'!$E$13:$E$17</c:f>
              <c:strCache>
                <c:ptCount val="4"/>
                <c:pt idx="0">
                  <c:v>Accessories</c:v>
                </c:pt>
                <c:pt idx="1">
                  <c:v>Clothing</c:v>
                </c:pt>
                <c:pt idx="2">
                  <c:v>Electronics</c:v>
                </c:pt>
                <c:pt idx="3">
                  <c:v>Home Appliances</c:v>
                </c:pt>
              </c:strCache>
            </c:strRef>
          </c:cat>
          <c:val>
            <c:numRef>
              <c:f>'Pivot Tables'!$F$13:$F$17</c:f>
              <c:numCache>
                <c:formatCode>General</c:formatCode>
                <c:ptCount val="4"/>
                <c:pt idx="0">
                  <c:v>323311.2</c:v>
                </c:pt>
                <c:pt idx="1">
                  <c:v>311992.79999999987</c:v>
                </c:pt>
                <c:pt idx="2">
                  <c:v>522853.80000000016</c:v>
                </c:pt>
                <c:pt idx="3">
                  <c:v>374399.19999999995</c:v>
                </c:pt>
              </c:numCache>
            </c:numRef>
          </c:val>
          <c:extLst>
            <c:ext xmlns:c16="http://schemas.microsoft.com/office/drawing/2014/chart" uri="{C3380CC4-5D6E-409C-BE32-E72D297353CC}">
              <c16:uniqueId val="{00000008-D222-4482-B855-0D3EFE0B14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9930956406078"/>
          <c:y val="0.49430684800763541"/>
          <c:w val="0.20912126796529545"/>
          <c:h val="0.45338603425559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Tables!PivotTable6</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Profit by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Tables'!$E$19</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Tables'!$E$20</c:f>
              <c:strCache>
                <c:ptCount val="1"/>
                <c:pt idx="0">
                  <c:v>Total</c:v>
                </c:pt>
              </c:strCache>
            </c:strRef>
          </c:cat>
          <c:val>
            <c:numRef>
              <c:f>'Pivot Tables'!$E$20</c:f>
              <c:numCache>
                <c:formatCode>General</c:formatCode>
                <c:ptCount val="1"/>
                <c:pt idx="0">
                  <c:v>1532556.9999999995</c:v>
                </c:pt>
              </c:numCache>
            </c:numRef>
          </c:val>
          <c:extLst>
            <c:ext xmlns:c16="http://schemas.microsoft.com/office/drawing/2014/chart" uri="{C3380CC4-5D6E-409C-BE32-E72D297353CC}">
              <c16:uniqueId val="{00000000-9A39-4CE3-8AEA-FB477A192437}"/>
            </c:ext>
          </c:extLst>
        </c:ser>
        <c:ser>
          <c:idx val="1"/>
          <c:order val="1"/>
          <c:tx>
            <c:strRef>
              <c:f>'Pivot Tables'!$F$19</c:f>
              <c:strCache>
                <c:ptCount val="1"/>
                <c:pt idx="0">
                  <c:v>Sum of Sales</c:v>
                </c:pt>
              </c:strCache>
            </c:strRef>
          </c:tx>
          <c:spPr>
            <a:solidFill>
              <a:schemeClr val="accent2"/>
            </a:solidFill>
            <a:ln>
              <a:noFill/>
            </a:ln>
            <a:effectLst/>
          </c:spPr>
          <c:invertIfNegative val="0"/>
          <c:cat>
            <c:strRef>
              <c:f>'Pivot Tables'!$E$20</c:f>
              <c:strCache>
                <c:ptCount val="1"/>
                <c:pt idx="0">
                  <c:v>Total</c:v>
                </c:pt>
              </c:strCache>
            </c:strRef>
          </c:cat>
          <c:val>
            <c:numRef>
              <c:f>'Pivot Tables'!$F$20</c:f>
              <c:numCache>
                <c:formatCode>General</c:formatCode>
                <c:ptCount val="1"/>
                <c:pt idx="0">
                  <c:v>7662785</c:v>
                </c:pt>
              </c:numCache>
            </c:numRef>
          </c:val>
          <c:extLst>
            <c:ext xmlns:c16="http://schemas.microsoft.com/office/drawing/2014/chart" uri="{C3380CC4-5D6E-409C-BE32-E72D297353CC}">
              <c16:uniqueId val="{00000000-3A49-4738-B00C-F23D02600594}"/>
            </c:ext>
          </c:extLst>
        </c:ser>
        <c:dLbls>
          <c:showLegendKey val="0"/>
          <c:showVal val="0"/>
          <c:showCatName val="0"/>
          <c:showSerName val="0"/>
          <c:showPercent val="0"/>
          <c:showBubbleSize val="0"/>
        </c:dLbls>
        <c:gapWidth val="182"/>
        <c:axId val="618204912"/>
        <c:axId val="618204496"/>
      </c:barChart>
      <c:catAx>
        <c:axId val="61820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04496"/>
        <c:crosses val="autoZero"/>
        <c:auto val="1"/>
        <c:lblAlgn val="ctr"/>
        <c:lblOffset val="100"/>
        <c:noMultiLvlLbl val="0"/>
      </c:catAx>
      <c:valAx>
        <c:axId val="61820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0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Region</a:t>
            </a:r>
          </a:p>
        </c:rich>
      </c:tx>
      <c:layout>
        <c:manualLayout>
          <c:xMode val="edge"/>
          <c:yMode val="edge"/>
          <c:x val="0.41043032223856885"/>
          <c:y val="6.0176361791871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879653308902246"/>
              <c:y val="-5.6194102555645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1962074228725335"/>
              <c:y val="0.11749675988907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587895400884557"/>
              <c:y val="6.1302657333430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7.8774635164776619E-2"/>
              <c:y val="-0.137930979000219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9724554627463"/>
          <c:y val="0.22693815904590872"/>
          <c:w val="0.46330200964164381"/>
          <c:h val="0.65217408799509813"/>
        </c:manualLayout>
      </c:layout>
      <c:doughnutChart>
        <c:varyColors val="1"/>
        <c:ser>
          <c:idx val="0"/>
          <c:order val="0"/>
          <c:tx>
            <c:strRef>
              <c:f>'Pivot Tables'!$Q$3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23-411B-9F27-FDA22E57DF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23-411B-9F27-FDA22E57DF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23-411B-9F27-FDA22E57DF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23-411B-9F27-FDA22E57DFC4}"/>
              </c:ext>
            </c:extLst>
          </c:dPt>
          <c:dLbls>
            <c:dLbl>
              <c:idx val="0"/>
              <c:layout>
                <c:manualLayout>
                  <c:x val="0.14879653308902246"/>
                  <c:y val="-5.6194102555645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23-411B-9F27-FDA22E57DFC4}"/>
                </c:ext>
              </c:extLst>
            </c:dLbl>
            <c:dLbl>
              <c:idx val="1"/>
              <c:layout>
                <c:manualLayout>
                  <c:x val="0.11962074228725335"/>
                  <c:y val="0.11749675988907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23-411B-9F27-FDA22E57DFC4}"/>
                </c:ext>
              </c:extLst>
            </c:dLbl>
            <c:dLbl>
              <c:idx val="2"/>
              <c:layout>
                <c:manualLayout>
                  <c:x val="-0.14587895400884557"/>
                  <c:y val="6.1302657333430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23-411B-9F27-FDA22E57DFC4}"/>
                </c:ext>
              </c:extLst>
            </c:dLbl>
            <c:dLbl>
              <c:idx val="3"/>
              <c:layout>
                <c:manualLayout>
                  <c:x val="-7.8774635164776619E-2"/>
                  <c:y val="-0.137930979000219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23-411B-9F27-FDA22E57DF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Tables'!$P$4:$P$8</c:f>
              <c:strCache>
                <c:ptCount val="4"/>
                <c:pt idx="0">
                  <c:v>East</c:v>
                </c:pt>
                <c:pt idx="1">
                  <c:v>North</c:v>
                </c:pt>
                <c:pt idx="2">
                  <c:v>South</c:v>
                </c:pt>
                <c:pt idx="3">
                  <c:v>West</c:v>
                </c:pt>
              </c:strCache>
            </c:strRef>
          </c:cat>
          <c:val>
            <c:numRef>
              <c:f>'Pivot Tables'!$Q$4:$Q$8</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8-3423-411B-9F27-FDA22E57DF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948691040780862"/>
          <c:y val="0.5726975502267474"/>
          <c:w val="0.13917311673716334"/>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Tables!PivotTable16</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2768571439924592E-2"/>
              <c:y val="1.6846180747096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3.153465540141908E-2"/>
              <c:y val="6.5395825986693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dLbl>
          <c:idx val="0"/>
          <c:layout>
            <c:manualLayout>
              <c:x val="-3.6434218283656616E-2"/>
              <c:y val="2.9238651544660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dLbl>
          <c:idx val="0"/>
          <c:layout>
            <c:manualLayout>
              <c:x val="-1.8004939403527997E-2"/>
              <c:y val="-5.7452675445078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s>
    <c:plotArea>
      <c:layout/>
      <c:pieChart>
        <c:varyColors val="1"/>
        <c:ser>
          <c:idx val="0"/>
          <c:order val="0"/>
          <c:tx>
            <c:strRef>
              <c:f>'Pivot Tables'!$J$28</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C3-439F-89E6-FAB1CA7E92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C3-439F-89E6-FAB1CA7E92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C3-439F-89E6-FAB1CA7E92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C3-439F-89E6-FAB1CA7E921D}"/>
              </c:ext>
            </c:extLst>
          </c:dPt>
          <c:dLbls>
            <c:dLbl>
              <c:idx val="0"/>
              <c:layout>
                <c:manualLayout>
                  <c:x val="6.2768571439924592E-2"/>
                  <c:y val="1.6846180747096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C3-439F-89E6-FAB1CA7E921D}"/>
                </c:ext>
              </c:extLst>
            </c:dLbl>
            <c:dLbl>
              <c:idx val="1"/>
              <c:layout>
                <c:manualLayout>
                  <c:x val="3.153465540141908E-2"/>
                  <c:y val="6.539582598669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C3-439F-89E6-FAB1CA7E921D}"/>
                </c:ext>
              </c:extLst>
            </c:dLbl>
            <c:dLbl>
              <c:idx val="2"/>
              <c:layout>
                <c:manualLayout>
                  <c:x val="-3.6434218283656616E-2"/>
                  <c:y val="2.9238651544660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C3-439F-89E6-FAB1CA7E921D}"/>
                </c:ext>
              </c:extLst>
            </c:dLbl>
            <c:dLbl>
              <c:idx val="3"/>
              <c:layout>
                <c:manualLayout>
                  <c:x val="-1.8004939403527997E-2"/>
                  <c:y val="-5.74526754450783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C3-439F-89E6-FAB1CA7E92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Tables'!$I$29:$I$33</c:f>
              <c:strCache>
                <c:ptCount val="4"/>
                <c:pt idx="0">
                  <c:v>East</c:v>
                </c:pt>
                <c:pt idx="1">
                  <c:v>North</c:v>
                </c:pt>
                <c:pt idx="2">
                  <c:v>South</c:v>
                </c:pt>
                <c:pt idx="3">
                  <c:v>West</c:v>
                </c:pt>
              </c:strCache>
            </c:strRef>
          </c:cat>
          <c:val>
            <c:numRef>
              <c:f>'Pivot Tables'!$J$29:$J$33</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09C3-439F-89E6-FAB1CA7E921D}"/>
            </c:ext>
          </c:extLst>
        </c:ser>
        <c:ser>
          <c:idx val="1"/>
          <c:order val="1"/>
          <c:tx>
            <c:strRef>
              <c:f>'Pivot Tables'!$K$28</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9C3-439F-89E6-FAB1CA7E92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9C3-439F-89E6-FAB1CA7E92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9C3-439F-89E6-FAB1CA7E92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9C3-439F-89E6-FAB1CA7E921D}"/>
              </c:ext>
            </c:extLst>
          </c:dPt>
          <c:cat>
            <c:strRef>
              <c:f>'Pivot Tables'!$I$29:$I$33</c:f>
              <c:strCache>
                <c:ptCount val="4"/>
                <c:pt idx="0">
                  <c:v>East</c:v>
                </c:pt>
                <c:pt idx="1">
                  <c:v>North</c:v>
                </c:pt>
                <c:pt idx="2">
                  <c:v>South</c:v>
                </c:pt>
                <c:pt idx="3">
                  <c:v>West</c:v>
                </c:pt>
              </c:strCache>
            </c:strRef>
          </c:cat>
          <c:val>
            <c:numRef>
              <c:f>'Pivot Tables'!$K$29:$K$33</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11-09C3-439F-89E6-FAB1CA7E921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5989372899869887"/>
          <c:y val="0.59305455364864013"/>
          <c:w val="0.11354584047972739"/>
          <c:h val="0.38109161436834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Tables!PivotTable13</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2.5157232704402517E-2"/>
              <c:y val="6.9444469759576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2.7952480782668437E-3"/>
              <c:y val="9.7222257663406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0.13417190775681342"/>
              <c:y val="-4.62963131730509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3.0747728860936307E-2"/>
              <c:y val="-8.7962995028796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5.3109713487071976E-2"/>
              <c:y val="7.8703732394186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218271103209"/>
          <c:y val="0.21410039884091525"/>
          <c:w val="0.56977909011373573"/>
          <c:h val="0.71577139562756964"/>
        </c:manualLayout>
      </c:layout>
      <c:lineChart>
        <c:grouping val="stacked"/>
        <c:varyColors val="0"/>
        <c:ser>
          <c:idx val="0"/>
          <c:order val="0"/>
          <c:tx>
            <c:strRef>
              <c:f>'Pivot Tables'!$R$18</c:f>
              <c:strCache>
                <c:ptCount val="1"/>
                <c:pt idx="0">
                  <c:v>Sum of Quantity</c:v>
                </c:pt>
              </c:strCache>
            </c:strRef>
          </c:tx>
          <c:spPr>
            <a:ln w="28575" cap="rnd">
              <a:solidFill>
                <a:schemeClr val="accent1"/>
              </a:solidFill>
              <a:round/>
            </a:ln>
            <a:effectLst/>
          </c:spPr>
          <c:marker>
            <c:symbol val="none"/>
          </c:marker>
          <c:cat>
            <c:strRef>
              <c:f>'Pivot Tables'!$Q$19:$Q$29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Tables'!$R$19:$R$29</c:f>
              <c:numCache>
                <c:formatCode>General</c:formatCode>
                <c:ptCount val="10"/>
                <c:pt idx="0">
                  <c:v>145</c:v>
                </c:pt>
                <c:pt idx="1">
                  <c:v>147</c:v>
                </c:pt>
                <c:pt idx="2">
                  <c:v>144</c:v>
                </c:pt>
                <c:pt idx="3">
                  <c:v>162</c:v>
                </c:pt>
                <c:pt idx="4">
                  <c:v>182</c:v>
                </c:pt>
                <c:pt idx="5">
                  <c:v>137</c:v>
                </c:pt>
                <c:pt idx="6">
                  <c:v>120</c:v>
                </c:pt>
                <c:pt idx="7">
                  <c:v>170</c:v>
                </c:pt>
                <c:pt idx="8">
                  <c:v>136</c:v>
                </c:pt>
                <c:pt idx="9">
                  <c:v>136</c:v>
                </c:pt>
              </c:numCache>
            </c:numRef>
          </c:val>
          <c:smooth val="0"/>
          <c:extLst>
            <c:ext xmlns:c16="http://schemas.microsoft.com/office/drawing/2014/chart" uri="{C3380CC4-5D6E-409C-BE32-E72D297353CC}">
              <c16:uniqueId val="{00000000-4B07-43AF-B9E5-83003E04AB4F}"/>
            </c:ext>
          </c:extLst>
        </c:ser>
        <c:ser>
          <c:idx val="1"/>
          <c:order val="1"/>
          <c:tx>
            <c:strRef>
              <c:f>'Pivot Tables'!$S$18</c:f>
              <c:strCache>
                <c:ptCount val="1"/>
                <c:pt idx="0">
                  <c:v>Sum of Sales</c:v>
                </c:pt>
              </c:strCache>
            </c:strRef>
          </c:tx>
          <c:spPr>
            <a:ln w="28575" cap="rnd">
              <a:solidFill>
                <a:schemeClr val="accent2"/>
              </a:solidFill>
              <a:round/>
            </a:ln>
            <a:effectLst/>
          </c:spPr>
          <c:marker>
            <c:symbol val="none"/>
          </c:marker>
          <c:dPt>
            <c:idx val="3"/>
            <c:marker>
              <c:symbol val="none"/>
            </c:marker>
            <c:bubble3D val="0"/>
            <c:spPr>
              <a:ln w="28575" cap="rnd">
                <a:solidFill>
                  <a:schemeClr val="accent2"/>
                </a:solidFill>
                <a:round/>
              </a:ln>
              <a:effectLst/>
            </c:spPr>
          </c:dPt>
          <c:dLbls>
            <c:dLbl>
              <c:idx val="3"/>
              <c:layout>
                <c:manualLayout>
                  <c:x val="5.3109713487071976E-2"/>
                  <c:y val="7.8703732394186501E-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3.0747728860936307E-2"/>
                  <c:y val="-8.7962995028796676E-2"/>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7952480782668437E-3"/>
                  <c:y val="9.7222257663406766E-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13417190775681342"/>
                  <c:y val="-4.6296313173050919E-2"/>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2.5157232704402517E-2"/>
                  <c:y val="6.944446975957631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Tables'!$Q$19:$Q$29</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Tables'!$S$19:$S$29</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1-4B07-43AF-B9E5-83003E04AB4F}"/>
            </c:ext>
          </c:extLst>
        </c:ser>
        <c:dLbls>
          <c:showLegendKey val="0"/>
          <c:showVal val="0"/>
          <c:showCatName val="0"/>
          <c:showSerName val="0"/>
          <c:showPercent val="0"/>
          <c:showBubbleSize val="0"/>
        </c:dLbls>
        <c:smooth val="0"/>
        <c:axId val="86289488"/>
        <c:axId val="86288240"/>
      </c:lineChart>
      <c:catAx>
        <c:axId val="8628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8240"/>
        <c:crosses val="autoZero"/>
        <c:auto val="1"/>
        <c:lblAlgn val="ctr"/>
        <c:lblOffset val="100"/>
        <c:noMultiLvlLbl val="0"/>
      </c:catAx>
      <c:valAx>
        <c:axId val="8628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9488"/>
        <c:crosses val="autoZero"/>
        <c:crossBetween val="between"/>
      </c:valAx>
      <c:spPr>
        <a:noFill/>
        <a:ln>
          <a:solidFill>
            <a:schemeClr val="bg2"/>
          </a:solidFill>
        </a:ln>
        <a:effectLst/>
      </c:spPr>
    </c:plotArea>
    <c:legend>
      <c:legendPos val="r"/>
      <c:layout>
        <c:manualLayout>
          <c:xMode val="edge"/>
          <c:yMode val="edge"/>
          <c:x val="0.76203943060576551"/>
          <c:y val="0.65936375742335851"/>
          <c:w val="0.23516532131596757"/>
          <c:h val="0.30164308167216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Channel</a:t>
            </a:r>
          </a:p>
        </c:rich>
      </c:tx>
      <c:layout>
        <c:manualLayout>
          <c:xMode val="edge"/>
          <c:yMode val="edge"/>
          <c:x val="0.31146480406581623"/>
          <c:y val="5.1568419962112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9647744237309147E-2"/>
              <c:y val="3.8329442191569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3.8403854548982201E-2"/>
              <c:y val="-1.8065134383139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5.9396594932820256E-2"/>
              <c:y val="-0.10726508850343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3.9785175723671094E-2"/>
              <c:y val="5.9609393499881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73672438789087"/>
          <c:y val="0.2224347139178309"/>
          <c:w val="0.33779753916797362"/>
          <c:h val="0.72470187440800382"/>
        </c:manualLayout>
      </c:layout>
      <c:pieChart>
        <c:varyColors val="1"/>
        <c:ser>
          <c:idx val="0"/>
          <c:order val="0"/>
          <c:tx>
            <c:strRef>
              <c:f>'Pivot Table-1'!$E$21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C-4BDE-A5DE-0BC766925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C-4BDE-A5DE-0BC766925E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EC-4BDE-A5DE-0BC766925E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EC-4BDE-A5DE-0BC766925E99}"/>
              </c:ext>
            </c:extLst>
          </c:dPt>
          <c:dLbls>
            <c:dLbl>
              <c:idx val="0"/>
              <c:layout>
                <c:manualLayout>
                  <c:x val="5.9647744237309147E-2"/>
                  <c:y val="3.8329442191569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EC-4BDE-A5DE-0BC766925E99}"/>
                </c:ext>
              </c:extLst>
            </c:dLbl>
            <c:dLbl>
              <c:idx val="1"/>
              <c:layout>
                <c:manualLayout>
                  <c:x val="3.8403854548982201E-2"/>
                  <c:y val="-1.8065134383139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EC-4BDE-A5DE-0BC766925E99}"/>
                </c:ext>
              </c:extLst>
            </c:dLbl>
            <c:dLbl>
              <c:idx val="2"/>
              <c:layout>
                <c:manualLayout>
                  <c:x val="-5.9396594932820256E-2"/>
                  <c:y val="-0.10726508850343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EC-4BDE-A5DE-0BC766925E99}"/>
                </c:ext>
              </c:extLst>
            </c:dLbl>
            <c:dLbl>
              <c:idx val="3"/>
              <c:layout>
                <c:manualLayout>
                  <c:x val="-3.9785175723671094E-2"/>
                  <c:y val="5.9609393499881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EC-4BDE-A5DE-0BC766925E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Table-1'!$D$22:$D$26</c:f>
              <c:strCache>
                <c:ptCount val="4"/>
                <c:pt idx="0">
                  <c:v>Affiliates</c:v>
                </c:pt>
                <c:pt idx="1">
                  <c:v>Ecommerce</c:v>
                </c:pt>
                <c:pt idx="2">
                  <c:v>Social Media</c:v>
                </c:pt>
                <c:pt idx="3">
                  <c:v>Stores</c:v>
                </c:pt>
              </c:strCache>
            </c:strRef>
          </c:cat>
          <c:val>
            <c:numRef>
              <c:f>'Pivot Table-1'!$E$22:$E$26</c:f>
              <c:numCache>
                <c:formatCode>General</c:formatCode>
                <c:ptCount val="4"/>
                <c:pt idx="0">
                  <c:v>1834550</c:v>
                </c:pt>
                <c:pt idx="1">
                  <c:v>2113159</c:v>
                </c:pt>
                <c:pt idx="2">
                  <c:v>1832223</c:v>
                </c:pt>
                <c:pt idx="3">
                  <c:v>1882853</c:v>
                </c:pt>
              </c:numCache>
            </c:numRef>
          </c:val>
          <c:extLst>
            <c:ext xmlns:c16="http://schemas.microsoft.com/office/drawing/2014/chart" uri="{C3380CC4-5D6E-409C-BE32-E72D297353CC}">
              <c16:uniqueId val="{00000008-7AEC-4BDE-A5DE-0BC766925E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Region</a:t>
            </a:r>
          </a:p>
        </c:rich>
      </c:tx>
      <c:layout>
        <c:manualLayout>
          <c:xMode val="edge"/>
          <c:yMode val="edge"/>
          <c:x val="0.35609711286089246"/>
          <c:y val="5.111806439042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900497512437812"/>
              <c:y val="-3.4934497816593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7.9601990049751117E-2"/>
              <c:y val="7.5691411935953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6915422885572143"/>
              <c:y val="4.6579330422125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625207296849088"/>
              <c:y val="-5.2401746724890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01312335958007"/>
          <c:y val="0.18688397574757301"/>
          <c:w val="0.39278567790966429"/>
          <c:h val="0.68951896296805693"/>
        </c:manualLayout>
      </c:layout>
      <c:doughnutChart>
        <c:varyColors val="1"/>
        <c:ser>
          <c:idx val="0"/>
          <c:order val="0"/>
          <c:tx>
            <c:strRef>
              <c:f>'Pivot Table-1'!$B$10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3E-4381-96BC-E1A0908D1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3E-4381-96BC-E1A0908D1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3E-4381-96BC-E1A0908D15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3E-4381-96BC-E1A0908D1597}"/>
              </c:ext>
            </c:extLst>
          </c:dPt>
          <c:dLbls>
            <c:dLbl>
              <c:idx val="0"/>
              <c:layout>
                <c:manualLayout>
                  <c:x val="0.19900497512437812"/>
                  <c:y val="-3.4934497816593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3E-4381-96BC-E1A0908D1597}"/>
                </c:ext>
              </c:extLst>
            </c:dLbl>
            <c:dLbl>
              <c:idx val="1"/>
              <c:layout>
                <c:manualLayout>
                  <c:x val="7.9601990049751117E-2"/>
                  <c:y val="7.5691411935953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3E-4381-96BC-E1A0908D1597}"/>
                </c:ext>
              </c:extLst>
            </c:dLbl>
            <c:dLbl>
              <c:idx val="2"/>
              <c:layout>
                <c:manualLayout>
                  <c:x val="-0.16915422885572143"/>
                  <c:y val="4.6579330422125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3E-4381-96BC-E1A0908D1597}"/>
                </c:ext>
              </c:extLst>
            </c:dLbl>
            <c:dLbl>
              <c:idx val="3"/>
              <c:layout>
                <c:manualLayout>
                  <c:x val="-0.1625207296849088"/>
                  <c:y val="-5.2401746724890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3E-4381-96BC-E1A0908D15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Table-1'!$A$11:$A$15</c:f>
              <c:strCache>
                <c:ptCount val="4"/>
                <c:pt idx="0">
                  <c:v>East</c:v>
                </c:pt>
                <c:pt idx="1">
                  <c:v>North</c:v>
                </c:pt>
                <c:pt idx="2">
                  <c:v>South</c:v>
                </c:pt>
                <c:pt idx="3">
                  <c:v>West</c:v>
                </c:pt>
              </c:strCache>
            </c:strRef>
          </c:cat>
          <c:val>
            <c:numRef>
              <c:f>'Pivot Table-1'!$B$11:$B$15</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EB3E-4381-96BC-E1A0908D15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&amp; Sales by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1707577433324"/>
          <c:y val="0.18947637292464881"/>
          <c:w val="0.68430483737729786"/>
          <c:h val="0.62564152453916244"/>
        </c:manualLayout>
      </c:layout>
      <c:barChart>
        <c:barDir val="bar"/>
        <c:grouping val="clustered"/>
        <c:varyColors val="0"/>
        <c:ser>
          <c:idx val="0"/>
          <c:order val="0"/>
          <c:tx>
            <c:strRef>
              <c:f>'Pivot Table-1'!$O$3</c:f>
              <c:strCache>
                <c:ptCount val="1"/>
                <c:pt idx="0">
                  <c:v>Sum of Profit</c:v>
                </c:pt>
              </c:strCache>
            </c:strRef>
          </c:tx>
          <c:spPr>
            <a:solidFill>
              <a:schemeClr val="accent1"/>
            </a:solidFill>
            <a:ln>
              <a:noFill/>
            </a:ln>
            <a:effectLst/>
          </c:spPr>
          <c:invertIfNegative val="0"/>
          <c:cat>
            <c:strRef>
              <c:f>'Pivot Table-1'!$N$4:$N$12</c:f>
              <c:strCache>
                <c:ptCount val="8"/>
                <c:pt idx="0">
                  <c:v>Camera</c:v>
                </c:pt>
                <c:pt idx="1">
                  <c:v>Fridge</c:v>
                </c:pt>
                <c:pt idx="2">
                  <c:v>Headphones</c:v>
                </c:pt>
                <c:pt idx="3">
                  <c:v>Jeans</c:v>
                </c:pt>
                <c:pt idx="4">
                  <c:v>Laptop</c:v>
                </c:pt>
                <c:pt idx="5">
                  <c:v>Microwave</c:v>
                </c:pt>
                <c:pt idx="6">
                  <c:v>Mobile</c:v>
                </c:pt>
                <c:pt idx="7">
                  <c:v>Shirt</c:v>
                </c:pt>
              </c:strCache>
            </c:strRef>
          </c:cat>
          <c:val>
            <c:numRef>
              <c:f>'Pivot Table-1'!$O$4:$O$12</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extLst>
            <c:ext xmlns:c16="http://schemas.microsoft.com/office/drawing/2014/chart" uri="{C3380CC4-5D6E-409C-BE32-E72D297353CC}">
              <c16:uniqueId val="{00000000-2A6A-4BB2-9E5F-B9CAE6685AEF}"/>
            </c:ext>
          </c:extLst>
        </c:ser>
        <c:ser>
          <c:idx val="1"/>
          <c:order val="1"/>
          <c:tx>
            <c:strRef>
              <c:f>'Pivot Table-1'!$P$3</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Table-1'!$N$4:$N$12</c:f>
              <c:strCache>
                <c:ptCount val="8"/>
                <c:pt idx="0">
                  <c:v>Camera</c:v>
                </c:pt>
                <c:pt idx="1">
                  <c:v>Fridge</c:v>
                </c:pt>
                <c:pt idx="2">
                  <c:v>Headphones</c:v>
                </c:pt>
                <c:pt idx="3">
                  <c:v>Jeans</c:v>
                </c:pt>
                <c:pt idx="4">
                  <c:v>Laptop</c:v>
                </c:pt>
                <c:pt idx="5">
                  <c:v>Microwave</c:v>
                </c:pt>
                <c:pt idx="6">
                  <c:v>Mobile</c:v>
                </c:pt>
                <c:pt idx="7">
                  <c:v>Shirt</c:v>
                </c:pt>
              </c:strCache>
            </c:strRef>
          </c:cat>
          <c:val>
            <c:numRef>
              <c:f>'Pivot Table-1'!$P$4:$P$12</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1-2A6A-4BB2-9E5F-B9CAE6685AEF}"/>
            </c:ext>
          </c:extLst>
        </c:ser>
        <c:dLbls>
          <c:showLegendKey val="0"/>
          <c:showVal val="0"/>
          <c:showCatName val="0"/>
          <c:showSerName val="0"/>
          <c:showPercent val="0"/>
          <c:showBubbleSize val="0"/>
        </c:dLbls>
        <c:gapWidth val="219"/>
        <c:axId val="1083424352"/>
        <c:axId val="1083421440"/>
      </c:barChart>
      <c:catAx>
        <c:axId val="108342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21440"/>
        <c:crosses val="autoZero"/>
        <c:auto val="1"/>
        <c:lblAlgn val="ctr"/>
        <c:lblOffset val="100"/>
        <c:noMultiLvlLbl val="0"/>
      </c:catAx>
      <c:valAx>
        <c:axId val="10834214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24352"/>
        <c:crosses val="autoZero"/>
        <c:crossBetween val="between"/>
      </c:valAx>
      <c:spPr>
        <a:noFill/>
        <a:ln>
          <a:noFill/>
        </a:ln>
        <a:effectLst/>
      </c:spPr>
    </c:plotArea>
    <c:legend>
      <c:legendPos val="r"/>
      <c:layout>
        <c:manualLayout>
          <c:xMode val="edge"/>
          <c:yMode val="edge"/>
          <c:x val="0.84752469421172216"/>
          <c:y val="0.48028253225103618"/>
          <c:w val="0.13549016399800817"/>
          <c:h val="0.30759452365751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&amp; Sales Timeline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Table-1'!$O$17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Table-1'!$N$18:$N$28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Table-1'!$O$18:$O$28</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extLst>
            <c:ext xmlns:c16="http://schemas.microsoft.com/office/drawing/2014/chart" uri="{C3380CC4-5D6E-409C-BE32-E72D297353CC}">
              <c16:uniqueId val="{00000000-7931-4D37-832B-6CA4A2EE16EC}"/>
            </c:ext>
          </c:extLst>
        </c:ser>
        <c:ser>
          <c:idx val="1"/>
          <c:order val="1"/>
          <c:tx>
            <c:strRef>
              <c:f>'Pivot Table-1'!$P$17</c:f>
              <c:strCache>
                <c:ptCount val="1"/>
                <c:pt idx="0">
                  <c:v>Sum of Profit</c:v>
                </c:pt>
              </c:strCache>
            </c:strRef>
          </c:tx>
          <c:spPr>
            <a:solidFill>
              <a:schemeClr val="accent2"/>
            </a:solidFill>
            <a:ln>
              <a:noFill/>
            </a:ln>
            <a:effectLst/>
          </c:spPr>
          <c:invertIfNegative val="0"/>
          <c:cat>
            <c:strRef>
              <c:f>'Pivot Table-1'!$N$18:$N$28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Table-1'!$P$18:$P$28</c:f>
              <c:numCache>
                <c:formatCode>General</c:formatCode>
                <c:ptCount val="10"/>
                <c:pt idx="0">
                  <c:v>161352.39999999997</c:v>
                </c:pt>
                <c:pt idx="1">
                  <c:v>145814.79999999999</c:v>
                </c:pt>
                <c:pt idx="2">
                  <c:v>155884.60000000003</c:v>
                </c:pt>
                <c:pt idx="3">
                  <c:v>120631.19999999997</c:v>
                </c:pt>
                <c:pt idx="4">
                  <c:v>148327.19999999998</c:v>
                </c:pt>
                <c:pt idx="5">
                  <c:v>156573.80000000002</c:v>
                </c:pt>
                <c:pt idx="6">
                  <c:v>178009.20000000004</c:v>
                </c:pt>
                <c:pt idx="7">
                  <c:v>164827.39999999997</c:v>
                </c:pt>
                <c:pt idx="8">
                  <c:v>173927.59999999998</c:v>
                </c:pt>
                <c:pt idx="9">
                  <c:v>127208.8</c:v>
                </c:pt>
              </c:numCache>
            </c:numRef>
          </c:val>
          <c:extLst>
            <c:ext xmlns:c16="http://schemas.microsoft.com/office/drawing/2014/chart" uri="{C3380CC4-5D6E-409C-BE32-E72D297353CC}">
              <c16:uniqueId val="{00000001-7931-4D37-832B-6CA4A2EE16EC}"/>
            </c:ext>
          </c:extLst>
        </c:ser>
        <c:dLbls>
          <c:showLegendKey val="0"/>
          <c:showVal val="0"/>
          <c:showCatName val="0"/>
          <c:showSerName val="0"/>
          <c:showPercent val="0"/>
          <c:showBubbleSize val="0"/>
        </c:dLbls>
        <c:gapWidth val="219"/>
        <c:overlap val="-27"/>
        <c:axId val="794061712"/>
        <c:axId val="794061296"/>
      </c:barChart>
      <c:catAx>
        <c:axId val="7940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61296"/>
        <c:crosses val="autoZero"/>
        <c:auto val="1"/>
        <c:lblAlgn val="ctr"/>
        <c:lblOffset val="100"/>
        <c:noMultiLvlLbl val="0"/>
      </c:catAx>
      <c:valAx>
        <c:axId val="79406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6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Channel</a:t>
            </a:r>
            <a:endParaRPr lang="en-US" b="1"/>
          </a:p>
        </c:rich>
      </c:tx>
      <c:layout>
        <c:manualLayout>
          <c:xMode val="edge"/>
          <c:yMode val="edge"/>
          <c:x val="0.31127289993273455"/>
          <c:y val="5.4857646610967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4140413352853506"/>
          <c:y val="0.19272024203081484"/>
          <c:w val="0.68135401416531471"/>
          <c:h val="0.58856324257177772"/>
        </c:manualLayout>
      </c:layout>
      <c:barChart>
        <c:barDir val="col"/>
        <c:grouping val="clustered"/>
        <c:varyColors val="0"/>
        <c:ser>
          <c:idx val="0"/>
          <c:order val="0"/>
          <c:tx>
            <c:strRef>
              <c:f>'Pivot Table-1'!$E$14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Table-1'!$D$15:$D$19</c:f>
              <c:strCache>
                <c:ptCount val="4"/>
                <c:pt idx="0">
                  <c:v>Affiliates</c:v>
                </c:pt>
                <c:pt idx="1">
                  <c:v>Ecommerce</c:v>
                </c:pt>
                <c:pt idx="2">
                  <c:v>Social Media</c:v>
                </c:pt>
                <c:pt idx="3">
                  <c:v>Stores</c:v>
                </c:pt>
              </c:strCache>
            </c:strRef>
          </c:cat>
          <c:val>
            <c:numRef>
              <c:f>'Pivot Table-1'!$E$15:$E$19</c:f>
              <c:numCache>
                <c:formatCode>General</c:formatCode>
                <c:ptCount val="4"/>
                <c:pt idx="0">
                  <c:v>366909.99999999994</c:v>
                </c:pt>
                <c:pt idx="1">
                  <c:v>422631.80000000005</c:v>
                </c:pt>
                <c:pt idx="2">
                  <c:v>366444.59999999992</c:v>
                </c:pt>
                <c:pt idx="3">
                  <c:v>376570.60000000015</c:v>
                </c:pt>
              </c:numCache>
            </c:numRef>
          </c:val>
          <c:extLst>
            <c:ext xmlns:c16="http://schemas.microsoft.com/office/drawing/2014/chart" uri="{C3380CC4-5D6E-409C-BE32-E72D297353CC}">
              <c16:uniqueId val="{00000000-FAFD-4736-971B-27C412A7C069}"/>
            </c:ext>
          </c:extLst>
        </c:ser>
        <c:dLbls>
          <c:showLegendKey val="0"/>
          <c:showVal val="0"/>
          <c:showCatName val="0"/>
          <c:showSerName val="0"/>
          <c:showPercent val="0"/>
          <c:showBubbleSize val="0"/>
        </c:dLbls>
        <c:gapWidth val="219"/>
        <c:overlap val="-27"/>
        <c:axId val="1085928544"/>
        <c:axId val="1085925216"/>
      </c:barChart>
      <c:catAx>
        <c:axId val="1085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25216"/>
        <c:crosses val="autoZero"/>
        <c:auto val="1"/>
        <c:lblAlgn val="ctr"/>
        <c:lblOffset val="100"/>
        <c:noMultiLvlLbl val="0"/>
      </c:catAx>
      <c:valAx>
        <c:axId val="108592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2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[sales_data_large-excel_Jalpa.xlsx]Pivot Table-1!PivotTable1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a:t>
            </a:r>
            <a:r>
              <a:rPr lang="en-US" b="1" baseline="0"/>
              <a:t> Region</a:t>
            </a:r>
            <a:endParaRPr lang="en-US" b="1"/>
          </a:p>
        </c:rich>
      </c:tx>
      <c:layout>
        <c:manualLayout>
          <c:xMode val="edge"/>
          <c:yMode val="edge"/>
          <c:x val="0.320544331251439"/>
          <c:y val="4.3842834252460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851492867385394"/>
              <c:y val="-0.13483146067415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4191426517723821"/>
              <c:y val="0.144818976279650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7821791440862475"/>
              <c:y val="3.4956304619225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5841592391877754"/>
              <c:y val="-0.10986267166042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0454567425257"/>
          <c:y val="0.21907379555083703"/>
          <c:w val="0.47980378878084706"/>
          <c:h val="0.72599486861895068"/>
        </c:manualLayout>
      </c:layout>
      <c:doughnutChart>
        <c:varyColors val="1"/>
        <c:ser>
          <c:idx val="0"/>
          <c:order val="0"/>
          <c:tx>
            <c:strRef>
              <c:f>'Pivot Table-1'!$B$3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2F-4A27-8038-0599F4EA05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2F-4A27-8038-0599F4EA05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2F-4A27-8038-0599F4EA05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2F-4A27-8038-0599F4EA05B4}"/>
              </c:ext>
            </c:extLst>
          </c:dPt>
          <c:dLbls>
            <c:dLbl>
              <c:idx val="0"/>
              <c:layout>
                <c:manualLayout>
                  <c:x val="0.14851492867385394"/>
                  <c:y val="-0.13483146067415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2F-4A27-8038-0599F4EA05B4}"/>
                </c:ext>
              </c:extLst>
            </c:dLbl>
            <c:dLbl>
              <c:idx val="1"/>
              <c:layout>
                <c:manualLayout>
                  <c:x val="0.14191426517723821"/>
                  <c:y val="0.144818976279650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2F-4A27-8038-0599F4EA05B4}"/>
                </c:ext>
              </c:extLst>
            </c:dLbl>
            <c:dLbl>
              <c:idx val="2"/>
              <c:layout>
                <c:manualLayout>
                  <c:x val="-0.17821791440862475"/>
                  <c:y val="3.495630461922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2F-4A27-8038-0599F4EA05B4}"/>
                </c:ext>
              </c:extLst>
            </c:dLbl>
            <c:dLbl>
              <c:idx val="3"/>
              <c:layout>
                <c:manualLayout>
                  <c:x val="-0.15841592391877754"/>
                  <c:y val="-0.10986267166042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2F-4A27-8038-0599F4EA05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Table-1'!$A$4:$A$8</c:f>
              <c:strCache>
                <c:ptCount val="4"/>
                <c:pt idx="0">
                  <c:v>East</c:v>
                </c:pt>
                <c:pt idx="1">
                  <c:v>North</c:v>
                </c:pt>
                <c:pt idx="2">
                  <c:v>South</c:v>
                </c:pt>
                <c:pt idx="3">
                  <c:v>West</c:v>
                </c:pt>
              </c:strCache>
            </c:strRef>
          </c:cat>
          <c:val>
            <c:numRef>
              <c:f>'Pivot Table-1'!$B$4:$B$8</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8-DE2F-4A27-8038-0599F4EA05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xdr:rowOff>
    </xdr:from>
    <xdr:to>
      <xdr:col>29</xdr:col>
      <xdr:colOff>19049</xdr:colOff>
      <xdr:row>38</xdr:row>
      <xdr:rowOff>9525</xdr:rowOff>
    </xdr:to>
    <xdr:sp macro="" textlink="">
      <xdr:nvSpPr>
        <xdr:cNvPr id="2" name="Rectangle 1">
          <a:extLst>
            <a:ext uri="{FF2B5EF4-FFF2-40B4-BE49-F238E27FC236}">
              <a16:creationId xmlns:a16="http://schemas.microsoft.com/office/drawing/2014/main" id="{464320E0-45A2-22B6-283B-B049E833916B}"/>
            </a:ext>
          </a:extLst>
        </xdr:cNvPr>
        <xdr:cNvSpPr/>
      </xdr:nvSpPr>
      <xdr:spPr>
        <a:xfrm>
          <a:off x="76200" y="1"/>
          <a:ext cx="17621249" cy="7248524"/>
        </a:xfrm>
        <a:prstGeom prst="rect">
          <a:avLst/>
        </a:prstGeom>
        <a:solidFill>
          <a:schemeClr val="accent6">
            <a:lumMod val="60000"/>
            <a:lumOff val="40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228601</xdr:colOff>
      <xdr:row>20</xdr:row>
      <xdr:rowOff>114300</xdr:rowOff>
    </xdr:from>
    <xdr:to>
      <xdr:col>13</xdr:col>
      <xdr:colOff>28575</xdr:colOff>
      <xdr:row>35</xdr:row>
      <xdr:rowOff>180975</xdr:rowOff>
    </xdr:to>
    <xdr:graphicFrame macro="">
      <xdr:nvGraphicFramePr>
        <xdr:cNvPr id="3" name="Chart 2">
          <a:extLst>
            <a:ext uri="{FF2B5EF4-FFF2-40B4-BE49-F238E27FC236}">
              <a16:creationId xmlns:a16="http://schemas.microsoft.com/office/drawing/2014/main" id="{D9D01F62-D745-460D-94BA-176922F50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123824</xdr:colOff>
      <xdr:row>7</xdr:row>
      <xdr:rowOff>28575</xdr:rowOff>
    </xdr:from>
    <xdr:to>
      <xdr:col>12</xdr:col>
      <xdr:colOff>171449</xdr:colOff>
      <xdr:row>19</xdr:row>
      <xdr:rowOff>152400</xdr:rowOff>
    </xdr:to>
    <xdr:graphicFrame macro="">
      <xdr:nvGraphicFramePr>
        <xdr:cNvPr id="10" name="Chart 9">
          <a:extLst>
            <a:ext uri="{FF2B5EF4-FFF2-40B4-BE49-F238E27FC236}">
              <a16:creationId xmlns:a16="http://schemas.microsoft.com/office/drawing/2014/main" id="{9C32DF89-ADD7-4DD8-8CE2-7C9BE49C5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485775</xdr:colOff>
      <xdr:row>0</xdr:row>
      <xdr:rowOff>133349</xdr:rowOff>
    </xdr:from>
    <xdr:to>
      <xdr:col>28</xdr:col>
      <xdr:colOff>561974</xdr:colOff>
      <xdr:row>20</xdr:row>
      <xdr:rowOff>47625</xdr:rowOff>
    </xdr:to>
    <xdr:graphicFrame macro="">
      <xdr:nvGraphicFramePr>
        <xdr:cNvPr id="11" name="Chart 10">
          <a:extLst>
            <a:ext uri="{FF2B5EF4-FFF2-40B4-BE49-F238E27FC236}">
              <a16:creationId xmlns:a16="http://schemas.microsoft.com/office/drawing/2014/main" id="{EEEF1681-BF9C-494A-B8F9-F747CCD5E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304801</xdr:colOff>
      <xdr:row>6</xdr:row>
      <xdr:rowOff>190499</xdr:rowOff>
    </xdr:from>
    <xdr:to>
      <xdr:col>19</xdr:col>
      <xdr:colOff>390525</xdr:colOff>
      <xdr:row>20</xdr:row>
      <xdr:rowOff>9525</xdr:rowOff>
    </xdr:to>
    <xdr:graphicFrame macro="">
      <xdr:nvGraphicFramePr>
        <xdr:cNvPr id="13" name="Chart 12">
          <a:extLst>
            <a:ext uri="{FF2B5EF4-FFF2-40B4-BE49-F238E27FC236}">
              <a16:creationId xmlns:a16="http://schemas.microsoft.com/office/drawing/2014/main" id="{BA965561-7031-473B-B4F9-6CD213298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66675</xdr:colOff>
      <xdr:row>20</xdr:row>
      <xdr:rowOff>104775</xdr:rowOff>
    </xdr:from>
    <xdr:to>
      <xdr:col>28</xdr:col>
      <xdr:colOff>581024</xdr:colOff>
      <xdr:row>35</xdr:row>
      <xdr:rowOff>180975</xdr:rowOff>
    </xdr:to>
    <xdr:graphicFrame macro="">
      <xdr:nvGraphicFramePr>
        <xdr:cNvPr id="15" name="Chart 14">
          <a:extLst>
            <a:ext uri="{FF2B5EF4-FFF2-40B4-BE49-F238E27FC236}">
              <a16:creationId xmlns:a16="http://schemas.microsoft.com/office/drawing/2014/main" id="{F4FCF49F-4375-4B7C-BC41-2F91249EE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152401</xdr:colOff>
      <xdr:row>20</xdr:row>
      <xdr:rowOff>133350</xdr:rowOff>
    </xdr:from>
    <xdr:to>
      <xdr:col>21</xdr:col>
      <xdr:colOff>1</xdr:colOff>
      <xdr:row>35</xdr:row>
      <xdr:rowOff>180975</xdr:rowOff>
    </xdr:to>
    <xdr:graphicFrame macro="">
      <xdr:nvGraphicFramePr>
        <xdr:cNvPr id="16" name="Chart 15">
          <a:extLst>
            <a:ext uri="{FF2B5EF4-FFF2-40B4-BE49-F238E27FC236}">
              <a16:creationId xmlns:a16="http://schemas.microsoft.com/office/drawing/2014/main" id="{CEF5326E-047E-46AF-9033-FDEF2EFE6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219076</xdr:colOff>
      <xdr:row>0</xdr:row>
      <xdr:rowOff>76198</xdr:rowOff>
    </xdr:from>
    <xdr:to>
      <xdr:col>4</xdr:col>
      <xdr:colOff>142875</xdr:colOff>
      <xdr:row>5</xdr:row>
      <xdr:rowOff>133349</xdr:rowOff>
    </xdr:to>
    <xdr:sp macro="" textlink="">
      <xdr:nvSpPr>
        <xdr:cNvPr id="17" name="Rectangle: Rounded Corners 16">
          <a:extLst>
            <a:ext uri="{FF2B5EF4-FFF2-40B4-BE49-F238E27FC236}">
              <a16:creationId xmlns:a16="http://schemas.microsoft.com/office/drawing/2014/main" id="{BBC81EE9-DC53-F9EB-32B9-855332E0E4A5}"/>
            </a:ext>
          </a:extLst>
        </xdr:cNvPr>
        <xdr:cNvSpPr/>
      </xdr:nvSpPr>
      <xdr:spPr>
        <a:xfrm>
          <a:off x="219076" y="76198"/>
          <a:ext cx="2362199" cy="1009651"/>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323850</xdr:colOff>
      <xdr:row>5</xdr:row>
      <xdr:rowOff>171449</xdr:rowOff>
    </xdr:from>
    <xdr:to>
      <xdr:col>4</xdr:col>
      <xdr:colOff>28575</xdr:colOff>
      <xdr:row>11</xdr:row>
      <xdr:rowOff>142874</xdr:rowOff>
    </xdr:to>
    <xdr:sp macro="" textlink="">
      <xdr:nvSpPr>
        <xdr:cNvPr id="18" name="Rectangle: Rounded Corners 17">
          <a:extLst>
            <a:ext uri="{FF2B5EF4-FFF2-40B4-BE49-F238E27FC236}">
              <a16:creationId xmlns:a16="http://schemas.microsoft.com/office/drawing/2014/main" id="{96DC861D-256A-BB39-0724-8CB2B77F050D}"/>
            </a:ext>
          </a:extLst>
        </xdr:cNvPr>
        <xdr:cNvSpPr/>
      </xdr:nvSpPr>
      <xdr:spPr>
        <a:xfrm>
          <a:off x="323850" y="1123949"/>
          <a:ext cx="2143125" cy="11144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12</xdr:row>
      <xdr:rowOff>1</xdr:rowOff>
    </xdr:from>
    <xdr:to>
      <xdr:col>4</xdr:col>
      <xdr:colOff>28575</xdr:colOff>
      <xdr:row>20</xdr:row>
      <xdr:rowOff>38101</xdr:rowOff>
    </xdr:to>
    <xdr:sp macro="" textlink="">
      <xdr:nvSpPr>
        <xdr:cNvPr id="19" name="Rectangle: Rounded Corners 18">
          <a:extLst>
            <a:ext uri="{FF2B5EF4-FFF2-40B4-BE49-F238E27FC236}">
              <a16:creationId xmlns:a16="http://schemas.microsoft.com/office/drawing/2014/main" id="{9867B789-4467-8088-326A-6E9F3F2B0489}"/>
            </a:ext>
          </a:extLst>
        </xdr:cNvPr>
        <xdr:cNvSpPr/>
      </xdr:nvSpPr>
      <xdr:spPr>
        <a:xfrm>
          <a:off x="257175" y="2286001"/>
          <a:ext cx="2209800" cy="15621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285751</xdr:colOff>
      <xdr:row>0</xdr:row>
      <xdr:rowOff>152400</xdr:rowOff>
    </xdr:from>
    <xdr:to>
      <xdr:col>19</xdr:col>
      <xdr:colOff>114301</xdr:colOff>
      <xdr:row>6</xdr:row>
      <xdr:rowOff>180975</xdr:rowOff>
    </xdr:to>
    <xdr:sp macro="" textlink="">
      <xdr:nvSpPr>
        <xdr:cNvPr id="20" name="Rectangle: Rounded Corners 19">
          <a:extLst>
            <a:ext uri="{FF2B5EF4-FFF2-40B4-BE49-F238E27FC236}">
              <a16:creationId xmlns:a16="http://schemas.microsoft.com/office/drawing/2014/main" id="{9E2830F5-C6B9-A3AF-01E6-6E064F8A91D2}"/>
            </a:ext>
          </a:extLst>
        </xdr:cNvPr>
        <xdr:cNvSpPr/>
      </xdr:nvSpPr>
      <xdr:spPr>
        <a:xfrm>
          <a:off x="3943351" y="152400"/>
          <a:ext cx="7753350" cy="1171575"/>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361950</xdr:colOff>
      <xdr:row>1</xdr:row>
      <xdr:rowOff>9524</xdr:rowOff>
    </xdr:from>
    <xdr:to>
      <xdr:col>16</xdr:col>
      <xdr:colOff>514350</xdr:colOff>
      <xdr:row>3</xdr:row>
      <xdr:rowOff>76199</xdr:rowOff>
    </xdr:to>
    <xdr:sp macro="" textlink="">
      <xdr:nvSpPr>
        <xdr:cNvPr id="21" name="TextBox 20">
          <a:extLst>
            <a:ext uri="{FF2B5EF4-FFF2-40B4-BE49-F238E27FC236}">
              <a16:creationId xmlns:a16="http://schemas.microsoft.com/office/drawing/2014/main" id="{609C2EFD-EF1E-C2B9-4F5E-93266B2BF785}"/>
            </a:ext>
          </a:extLst>
        </xdr:cNvPr>
        <xdr:cNvSpPr txBox="1"/>
      </xdr:nvSpPr>
      <xdr:spPr>
        <a:xfrm>
          <a:off x="5848350" y="200024"/>
          <a:ext cx="4419600" cy="4476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Sales</a:t>
          </a:r>
          <a:r>
            <a:rPr lang="en-IN" sz="2400" b="1" baseline="0"/>
            <a:t> &amp; Profit Dashboard</a:t>
          </a:r>
          <a:endParaRPr lang="en-IN" sz="2400" b="1"/>
        </a:p>
      </xdr:txBody>
    </xdr:sp>
    <xdr:clientData/>
  </xdr:twoCellAnchor>
  <xdr:twoCellAnchor>
    <xdr:from>
      <xdr:col>10</xdr:col>
      <xdr:colOff>581024</xdr:colOff>
      <xdr:row>3</xdr:row>
      <xdr:rowOff>114300</xdr:rowOff>
    </xdr:from>
    <xdr:to>
      <xdr:col>15</xdr:col>
      <xdr:colOff>314325</xdr:colOff>
      <xdr:row>5</xdr:row>
      <xdr:rowOff>19050</xdr:rowOff>
    </xdr:to>
    <xdr:sp macro="" textlink="">
      <xdr:nvSpPr>
        <xdr:cNvPr id="23" name="TextBox 22">
          <a:extLst>
            <a:ext uri="{FF2B5EF4-FFF2-40B4-BE49-F238E27FC236}">
              <a16:creationId xmlns:a16="http://schemas.microsoft.com/office/drawing/2014/main" id="{4D0385E8-D004-6ECD-A8AF-803B1FB586FE}"/>
            </a:ext>
          </a:extLst>
        </xdr:cNvPr>
        <xdr:cNvSpPr txBox="1"/>
      </xdr:nvSpPr>
      <xdr:spPr>
        <a:xfrm>
          <a:off x="6677024" y="685800"/>
          <a:ext cx="2781301" cy="2857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Sales</a:t>
          </a:r>
        </a:p>
      </xdr:txBody>
    </xdr:sp>
    <xdr:clientData/>
  </xdr:twoCellAnchor>
  <xdr:twoCellAnchor>
    <xdr:from>
      <xdr:col>15</xdr:col>
      <xdr:colOff>352426</xdr:colOff>
      <xdr:row>3</xdr:row>
      <xdr:rowOff>104776</xdr:rowOff>
    </xdr:from>
    <xdr:to>
      <xdr:col>19</xdr:col>
      <xdr:colOff>409575</xdr:colOff>
      <xdr:row>5</xdr:row>
      <xdr:rowOff>19050</xdr:rowOff>
    </xdr:to>
    <xdr:sp macro="" textlink="">
      <xdr:nvSpPr>
        <xdr:cNvPr id="24" name="TextBox 23">
          <a:extLst>
            <a:ext uri="{FF2B5EF4-FFF2-40B4-BE49-F238E27FC236}">
              <a16:creationId xmlns:a16="http://schemas.microsoft.com/office/drawing/2014/main" id="{085F4C8D-4D7F-22A8-E04A-12E0056FAE2D}"/>
            </a:ext>
          </a:extLst>
        </xdr:cNvPr>
        <xdr:cNvSpPr txBox="1"/>
      </xdr:nvSpPr>
      <xdr:spPr>
        <a:xfrm>
          <a:off x="9496426" y="676276"/>
          <a:ext cx="2495549" cy="29527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Qty</a:t>
          </a:r>
        </a:p>
      </xdr:txBody>
    </xdr:sp>
    <xdr:clientData/>
  </xdr:twoCellAnchor>
  <xdr:twoCellAnchor>
    <xdr:from>
      <xdr:col>15</xdr:col>
      <xdr:colOff>371476</xdr:colOff>
      <xdr:row>5</xdr:row>
      <xdr:rowOff>38100</xdr:rowOff>
    </xdr:from>
    <xdr:to>
      <xdr:col>19</xdr:col>
      <xdr:colOff>390525</xdr:colOff>
      <xdr:row>6</xdr:row>
      <xdr:rowOff>104775</xdr:rowOff>
    </xdr:to>
    <xdr:sp macro="" textlink="'Pivot Tables'!J13">
      <xdr:nvSpPr>
        <xdr:cNvPr id="25" name="TextBox 24">
          <a:extLst>
            <a:ext uri="{FF2B5EF4-FFF2-40B4-BE49-F238E27FC236}">
              <a16:creationId xmlns:a16="http://schemas.microsoft.com/office/drawing/2014/main" id="{BB63B3AE-BB97-73A9-BB03-529B6FA9FE18}"/>
            </a:ext>
          </a:extLst>
        </xdr:cNvPr>
        <xdr:cNvSpPr txBox="1"/>
      </xdr:nvSpPr>
      <xdr:spPr>
        <a:xfrm>
          <a:off x="9515476" y="990600"/>
          <a:ext cx="2457449" cy="2571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3F3F76"/>
              </a:solidFill>
              <a:latin typeface="Calibri"/>
              <a:ea typeface="Calibri"/>
              <a:cs typeface="Calibri"/>
            </a:rPr>
            <a:t>	</a:t>
          </a:r>
          <a:fld id="{D12B73E4-5ABB-40D4-97C2-0F310C8F1999}" type="TxLink">
            <a:rPr lang="en-US" sz="1400" b="1" i="0" u="none" strike="noStrike">
              <a:solidFill>
                <a:srgbClr val="3F3F76"/>
              </a:solidFill>
              <a:latin typeface="Calibri"/>
              <a:ea typeface="Calibri"/>
              <a:cs typeface="Calibri"/>
            </a:rPr>
            <a:pPr/>
            <a:t>1479</a:t>
          </a:fld>
          <a:r>
            <a:rPr lang="en-US" sz="1400" b="1" i="0" u="none" strike="noStrike">
              <a:solidFill>
                <a:srgbClr val="3F3F76"/>
              </a:solidFill>
              <a:latin typeface="Calibri"/>
              <a:ea typeface="Calibri"/>
              <a:cs typeface="Calibri"/>
            </a:rPr>
            <a:t>	</a:t>
          </a:r>
          <a:endParaRPr lang="en-IN" sz="1400" b="1"/>
        </a:p>
      </xdr:txBody>
    </xdr:sp>
    <xdr:clientData/>
  </xdr:twoCellAnchor>
  <xdr:twoCellAnchor>
    <xdr:from>
      <xdr:col>10</xdr:col>
      <xdr:colOff>581025</xdr:colOff>
      <xdr:row>5</xdr:row>
      <xdr:rowOff>38100</xdr:rowOff>
    </xdr:from>
    <xdr:to>
      <xdr:col>15</xdr:col>
      <xdr:colOff>323850</xdr:colOff>
      <xdr:row>6</xdr:row>
      <xdr:rowOff>133349</xdr:rowOff>
    </xdr:to>
    <xdr:sp macro="" textlink="'Pivot Tables'!J12">
      <xdr:nvSpPr>
        <xdr:cNvPr id="26" name="TextBox 25">
          <a:extLst>
            <a:ext uri="{FF2B5EF4-FFF2-40B4-BE49-F238E27FC236}">
              <a16:creationId xmlns:a16="http://schemas.microsoft.com/office/drawing/2014/main" id="{4D8124A1-BC31-F716-1A79-7499DFFFED2B}"/>
            </a:ext>
          </a:extLst>
        </xdr:cNvPr>
        <xdr:cNvSpPr txBox="1"/>
      </xdr:nvSpPr>
      <xdr:spPr>
        <a:xfrm>
          <a:off x="6677025" y="990600"/>
          <a:ext cx="2790825" cy="28574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3F3F76"/>
              </a:solidFill>
              <a:latin typeface="Calibri"/>
              <a:ea typeface="Calibri"/>
              <a:cs typeface="Calibri"/>
            </a:rPr>
            <a:t>	</a:t>
          </a:r>
          <a:fld id="{3E0608FB-E2B9-4FBE-91E7-81D110A99692}" type="TxLink">
            <a:rPr lang="en-US" sz="1600" b="1" i="0" u="none" strike="noStrike">
              <a:solidFill>
                <a:srgbClr val="3F3F76"/>
              </a:solidFill>
              <a:latin typeface="Calibri"/>
              <a:ea typeface="Calibri"/>
              <a:cs typeface="Calibri"/>
            </a:rPr>
            <a:pPr/>
            <a:t>7662785</a:t>
          </a:fld>
          <a:endParaRPr lang="en-IN" sz="1600" b="1"/>
        </a:p>
      </xdr:txBody>
    </xdr:sp>
    <xdr:clientData/>
  </xdr:twoCellAnchor>
  <xdr:twoCellAnchor>
    <xdr:from>
      <xdr:col>6</xdr:col>
      <xdr:colOff>352426</xdr:colOff>
      <xdr:row>5</xdr:row>
      <xdr:rowOff>47625</xdr:rowOff>
    </xdr:from>
    <xdr:to>
      <xdr:col>10</xdr:col>
      <xdr:colOff>561976</xdr:colOff>
      <xdr:row>6</xdr:row>
      <xdr:rowOff>152400</xdr:rowOff>
    </xdr:to>
    <xdr:sp macro="" textlink="'Pivot Tables'!J14">
      <xdr:nvSpPr>
        <xdr:cNvPr id="27" name="TextBox 26">
          <a:extLst>
            <a:ext uri="{FF2B5EF4-FFF2-40B4-BE49-F238E27FC236}">
              <a16:creationId xmlns:a16="http://schemas.microsoft.com/office/drawing/2014/main" id="{BC7FC7B1-46AF-A049-9178-ADA6AA7F37F2}"/>
            </a:ext>
          </a:extLst>
        </xdr:cNvPr>
        <xdr:cNvSpPr txBox="1"/>
      </xdr:nvSpPr>
      <xdr:spPr>
        <a:xfrm>
          <a:off x="4010026" y="1000125"/>
          <a:ext cx="2647950" cy="2952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9473F5-65C7-41F1-BCC7-CE17F54FA8DE}" type="TxLink">
            <a:rPr lang="en-US" sz="1600" b="1" i="0" u="none" strike="noStrike">
              <a:solidFill>
                <a:srgbClr val="3F3F76"/>
              </a:solidFill>
              <a:latin typeface="Calibri"/>
              <a:ea typeface="Calibri"/>
              <a:cs typeface="Calibri"/>
            </a:rPr>
            <a:pPr algn="ctr"/>
            <a:t>12943334</a:t>
          </a:fld>
          <a:endParaRPr lang="en-IN" sz="1600" b="1"/>
        </a:p>
      </xdr:txBody>
    </xdr:sp>
    <xdr:clientData/>
  </xdr:twoCellAnchor>
  <xdr:twoCellAnchor>
    <xdr:from>
      <xdr:col>6</xdr:col>
      <xdr:colOff>342899</xdr:colOff>
      <xdr:row>3</xdr:row>
      <xdr:rowOff>104775</xdr:rowOff>
    </xdr:from>
    <xdr:to>
      <xdr:col>10</xdr:col>
      <xdr:colOff>571500</xdr:colOff>
      <xdr:row>5</xdr:row>
      <xdr:rowOff>28575</xdr:rowOff>
    </xdr:to>
    <xdr:sp macro="" textlink="">
      <xdr:nvSpPr>
        <xdr:cNvPr id="28" name="TextBox 27">
          <a:extLst>
            <a:ext uri="{FF2B5EF4-FFF2-40B4-BE49-F238E27FC236}">
              <a16:creationId xmlns:a16="http://schemas.microsoft.com/office/drawing/2014/main" id="{421B82BD-167E-6262-FFBB-A46F1569DBDE}"/>
            </a:ext>
          </a:extLst>
        </xdr:cNvPr>
        <xdr:cNvSpPr txBox="1"/>
      </xdr:nvSpPr>
      <xdr:spPr>
        <a:xfrm>
          <a:off x="4000499" y="676275"/>
          <a:ext cx="2667001" cy="3048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Profit </a:t>
          </a:r>
        </a:p>
      </xdr:txBody>
    </xdr:sp>
    <xdr:clientData/>
  </xdr:twoCellAnchor>
  <xdr:twoCellAnchor editAs="oneCell">
    <xdr:from>
      <xdr:col>0</xdr:col>
      <xdr:colOff>390525</xdr:colOff>
      <xdr:row>6</xdr:row>
      <xdr:rowOff>38100</xdr:rowOff>
    </xdr:from>
    <xdr:to>
      <xdr:col>4</xdr:col>
      <xdr:colOff>28574</xdr:colOff>
      <xdr:row>11</xdr:row>
      <xdr:rowOff>133350</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F30AE9FA-CE00-4AEE-A96A-C886DEDCF3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0525" y="1181100"/>
              <a:ext cx="2076449"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12</xdr:row>
      <xdr:rowOff>66675</xdr:rowOff>
    </xdr:from>
    <xdr:to>
      <xdr:col>3</xdr:col>
      <xdr:colOff>514350</xdr:colOff>
      <xdr:row>19</xdr:row>
      <xdr:rowOff>133350</xdr:rowOff>
    </xdr:to>
    <mc:AlternateContent xmlns:mc="http://schemas.openxmlformats.org/markup-compatibility/2006" xmlns:a14="http://schemas.microsoft.com/office/drawing/2010/main">
      <mc:Choice Requires="a14">
        <xdr:graphicFrame macro="">
          <xdr:nvGraphicFramePr>
            <xdr:cNvPr id="32" name="Months">
              <a:extLst>
                <a:ext uri="{FF2B5EF4-FFF2-40B4-BE49-F238E27FC236}">
                  <a16:creationId xmlns:a16="http://schemas.microsoft.com/office/drawing/2014/main" id="{7CFBEB21-8AA6-4487-B61D-9F237DAD8F4F}"/>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52425" y="2352675"/>
              <a:ext cx="1990725"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0</xdr:row>
      <xdr:rowOff>123825</xdr:rowOff>
    </xdr:from>
    <xdr:to>
      <xdr:col>4</xdr:col>
      <xdr:colOff>19050</xdr:colOff>
      <xdr:row>5</xdr:row>
      <xdr:rowOff>38100</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B542EE01-B7A2-4B5A-9C14-3FE74A0C0C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5" y="123825"/>
              <a:ext cx="306705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0</xdr:rowOff>
    </xdr:from>
    <xdr:to>
      <xdr:col>27</xdr:col>
      <xdr:colOff>352426</xdr:colOff>
      <xdr:row>36</xdr:row>
      <xdr:rowOff>66675</xdr:rowOff>
    </xdr:to>
    <xdr:sp macro="" textlink="">
      <xdr:nvSpPr>
        <xdr:cNvPr id="2" name="Rectangle 1">
          <a:extLst>
            <a:ext uri="{FF2B5EF4-FFF2-40B4-BE49-F238E27FC236}">
              <a16:creationId xmlns:a16="http://schemas.microsoft.com/office/drawing/2014/main" id="{2F0D343F-5F89-D236-A619-A005E8AA616F}"/>
            </a:ext>
          </a:extLst>
        </xdr:cNvPr>
        <xdr:cNvSpPr/>
      </xdr:nvSpPr>
      <xdr:spPr>
        <a:xfrm>
          <a:off x="85726" y="0"/>
          <a:ext cx="16725900" cy="692467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5</xdr:row>
      <xdr:rowOff>76200</xdr:rowOff>
    </xdr:from>
    <xdr:to>
      <xdr:col>6</xdr:col>
      <xdr:colOff>285750</xdr:colOff>
      <xdr:row>9</xdr:row>
      <xdr:rowOff>38100</xdr:rowOff>
    </xdr:to>
    <xdr:sp macro="" textlink="">
      <xdr:nvSpPr>
        <xdr:cNvPr id="11" name="Rectangle: Rounded Corners 10">
          <a:extLst>
            <a:ext uri="{FF2B5EF4-FFF2-40B4-BE49-F238E27FC236}">
              <a16:creationId xmlns:a16="http://schemas.microsoft.com/office/drawing/2014/main" id="{1F255D1D-85A8-6AE2-9E60-BD63D54C8DC4}"/>
            </a:ext>
          </a:extLst>
        </xdr:cNvPr>
        <xdr:cNvSpPr/>
      </xdr:nvSpPr>
      <xdr:spPr>
        <a:xfrm>
          <a:off x="2057400" y="1028700"/>
          <a:ext cx="188595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428625</xdr:colOff>
      <xdr:row>5</xdr:row>
      <xdr:rowOff>114299</xdr:rowOff>
    </xdr:from>
    <xdr:to>
      <xdr:col>9</xdr:col>
      <xdr:colOff>533400</xdr:colOff>
      <xdr:row>9</xdr:row>
      <xdr:rowOff>66674</xdr:rowOff>
    </xdr:to>
    <xdr:sp macro="" textlink="">
      <xdr:nvSpPr>
        <xdr:cNvPr id="12" name="Rectangle: Rounded Corners 11">
          <a:extLst>
            <a:ext uri="{FF2B5EF4-FFF2-40B4-BE49-F238E27FC236}">
              <a16:creationId xmlns:a16="http://schemas.microsoft.com/office/drawing/2014/main" id="{E8437E5B-2491-30B6-285A-78236D20FDB2}"/>
            </a:ext>
          </a:extLst>
        </xdr:cNvPr>
        <xdr:cNvSpPr/>
      </xdr:nvSpPr>
      <xdr:spPr>
        <a:xfrm>
          <a:off x="4086225" y="1066799"/>
          <a:ext cx="1933575" cy="714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219076</xdr:colOff>
      <xdr:row>5</xdr:row>
      <xdr:rowOff>104776</xdr:rowOff>
    </xdr:from>
    <xdr:to>
      <xdr:col>13</xdr:col>
      <xdr:colOff>600076</xdr:colOff>
      <xdr:row>9</xdr:row>
      <xdr:rowOff>85726</xdr:rowOff>
    </xdr:to>
    <xdr:sp macro="" textlink="">
      <xdr:nvSpPr>
        <xdr:cNvPr id="13" name="Rectangle: Rounded Corners 12">
          <a:extLst>
            <a:ext uri="{FF2B5EF4-FFF2-40B4-BE49-F238E27FC236}">
              <a16:creationId xmlns:a16="http://schemas.microsoft.com/office/drawing/2014/main" id="{77A4622F-C00E-15AF-0DC3-E79C6C66996E}"/>
            </a:ext>
          </a:extLst>
        </xdr:cNvPr>
        <xdr:cNvSpPr/>
      </xdr:nvSpPr>
      <xdr:spPr>
        <a:xfrm>
          <a:off x="6315076" y="1057276"/>
          <a:ext cx="2209800" cy="742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228600</xdr:colOff>
      <xdr:row>5</xdr:row>
      <xdr:rowOff>123825</xdr:rowOff>
    </xdr:from>
    <xdr:to>
      <xdr:col>18</xdr:col>
      <xdr:colOff>142875</xdr:colOff>
      <xdr:row>9</xdr:row>
      <xdr:rowOff>76200</xdr:rowOff>
    </xdr:to>
    <xdr:sp macro="" textlink="">
      <xdr:nvSpPr>
        <xdr:cNvPr id="14" name="Rectangle: Rounded Corners 13">
          <a:extLst>
            <a:ext uri="{FF2B5EF4-FFF2-40B4-BE49-F238E27FC236}">
              <a16:creationId xmlns:a16="http://schemas.microsoft.com/office/drawing/2014/main" id="{69AEA1DF-F92A-3D24-77EF-D38A297A141A}"/>
            </a:ext>
          </a:extLst>
        </xdr:cNvPr>
        <xdr:cNvSpPr/>
      </xdr:nvSpPr>
      <xdr:spPr>
        <a:xfrm>
          <a:off x="8763000" y="1076325"/>
          <a:ext cx="2352675" cy="714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371476</xdr:colOff>
      <xdr:row>5</xdr:row>
      <xdr:rowOff>133351</xdr:rowOff>
    </xdr:from>
    <xdr:to>
      <xdr:col>21</xdr:col>
      <xdr:colOff>447676</xdr:colOff>
      <xdr:row>9</xdr:row>
      <xdr:rowOff>76201</xdr:rowOff>
    </xdr:to>
    <xdr:sp macro="" textlink="">
      <xdr:nvSpPr>
        <xdr:cNvPr id="15" name="Rectangle: Rounded Corners 14">
          <a:extLst>
            <a:ext uri="{FF2B5EF4-FFF2-40B4-BE49-F238E27FC236}">
              <a16:creationId xmlns:a16="http://schemas.microsoft.com/office/drawing/2014/main" id="{26F20DB3-B79B-C4BB-72AC-E2D90053AB4C}"/>
            </a:ext>
          </a:extLst>
        </xdr:cNvPr>
        <xdr:cNvSpPr/>
      </xdr:nvSpPr>
      <xdr:spPr>
        <a:xfrm>
          <a:off x="11344276" y="1085851"/>
          <a:ext cx="1905000" cy="704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xdr:colOff>
      <xdr:row>5</xdr:row>
      <xdr:rowOff>152400</xdr:rowOff>
    </xdr:from>
    <xdr:to>
      <xdr:col>24</xdr:col>
      <xdr:colOff>466725</xdr:colOff>
      <xdr:row>9</xdr:row>
      <xdr:rowOff>38100</xdr:rowOff>
    </xdr:to>
    <xdr:sp macro="" textlink="">
      <xdr:nvSpPr>
        <xdr:cNvPr id="16" name="Rectangle: Rounded Corners 15">
          <a:extLst>
            <a:ext uri="{FF2B5EF4-FFF2-40B4-BE49-F238E27FC236}">
              <a16:creationId xmlns:a16="http://schemas.microsoft.com/office/drawing/2014/main" id="{C976C5D1-6104-4DCF-49B3-AA3A7B592C85}"/>
            </a:ext>
          </a:extLst>
        </xdr:cNvPr>
        <xdr:cNvSpPr/>
      </xdr:nvSpPr>
      <xdr:spPr>
        <a:xfrm>
          <a:off x="13430250" y="1104900"/>
          <a:ext cx="1666875"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142874</xdr:colOff>
      <xdr:row>23</xdr:row>
      <xdr:rowOff>104775</xdr:rowOff>
    </xdr:from>
    <xdr:to>
      <xdr:col>10</xdr:col>
      <xdr:colOff>514349</xdr:colOff>
      <xdr:row>34</xdr:row>
      <xdr:rowOff>171451</xdr:rowOff>
    </xdr:to>
    <xdr:graphicFrame macro="">
      <xdr:nvGraphicFramePr>
        <xdr:cNvPr id="19" name="Chart 18">
          <a:extLst>
            <a:ext uri="{FF2B5EF4-FFF2-40B4-BE49-F238E27FC236}">
              <a16:creationId xmlns:a16="http://schemas.microsoft.com/office/drawing/2014/main" id="{FA9E89A2-8CB4-4EA1-BAF1-A87CF1A19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247650</xdr:colOff>
      <xdr:row>23</xdr:row>
      <xdr:rowOff>123825</xdr:rowOff>
    </xdr:from>
    <xdr:to>
      <xdr:col>24</xdr:col>
      <xdr:colOff>419100</xdr:colOff>
      <xdr:row>35</xdr:row>
      <xdr:rowOff>19050</xdr:rowOff>
    </xdr:to>
    <xdr:graphicFrame macro="">
      <xdr:nvGraphicFramePr>
        <xdr:cNvPr id="20" name="Chart 19">
          <a:extLst>
            <a:ext uri="{FF2B5EF4-FFF2-40B4-BE49-F238E27FC236}">
              <a16:creationId xmlns:a16="http://schemas.microsoft.com/office/drawing/2014/main" id="{029B6E91-A5A4-4FAF-A62E-EA50C4DB8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571501</xdr:colOff>
      <xdr:row>10</xdr:row>
      <xdr:rowOff>47625</xdr:rowOff>
    </xdr:from>
    <xdr:to>
      <xdr:col>18</xdr:col>
      <xdr:colOff>180975</xdr:colOff>
      <xdr:row>23</xdr:row>
      <xdr:rowOff>38100</xdr:rowOff>
    </xdr:to>
    <xdr:graphicFrame macro="">
      <xdr:nvGraphicFramePr>
        <xdr:cNvPr id="21" name="Chart 20">
          <a:extLst>
            <a:ext uri="{FF2B5EF4-FFF2-40B4-BE49-F238E27FC236}">
              <a16:creationId xmlns:a16="http://schemas.microsoft.com/office/drawing/2014/main" id="{4841BE15-208E-477B-8AF8-F147DB7E9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10</xdr:row>
      <xdr:rowOff>47624</xdr:rowOff>
    </xdr:from>
    <xdr:to>
      <xdr:col>10</xdr:col>
      <xdr:colOff>504825</xdr:colOff>
      <xdr:row>23</xdr:row>
      <xdr:rowOff>57149</xdr:rowOff>
    </xdr:to>
    <xdr:graphicFrame macro="">
      <xdr:nvGraphicFramePr>
        <xdr:cNvPr id="22" name="Chart 21">
          <a:extLst>
            <a:ext uri="{FF2B5EF4-FFF2-40B4-BE49-F238E27FC236}">
              <a16:creationId xmlns:a16="http://schemas.microsoft.com/office/drawing/2014/main" id="{6A38A1BC-9057-4A30-8CB5-12CA6F9BB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561974</xdr:colOff>
      <xdr:row>23</xdr:row>
      <xdr:rowOff>95250</xdr:rowOff>
    </xdr:from>
    <xdr:to>
      <xdr:col>18</xdr:col>
      <xdr:colOff>190499</xdr:colOff>
      <xdr:row>35</xdr:row>
      <xdr:rowOff>19050</xdr:rowOff>
    </xdr:to>
    <xdr:graphicFrame macro="">
      <xdr:nvGraphicFramePr>
        <xdr:cNvPr id="24" name="Chart 23">
          <a:extLst>
            <a:ext uri="{FF2B5EF4-FFF2-40B4-BE49-F238E27FC236}">
              <a16:creationId xmlns:a16="http://schemas.microsoft.com/office/drawing/2014/main" id="{489D21EA-6AF9-49B1-834C-CF9A65EAF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219076</xdr:colOff>
      <xdr:row>10</xdr:row>
      <xdr:rowOff>28575</xdr:rowOff>
    </xdr:from>
    <xdr:to>
      <xdr:col>24</xdr:col>
      <xdr:colOff>409574</xdr:colOff>
      <xdr:row>23</xdr:row>
      <xdr:rowOff>95250</xdr:rowOff>
    </xdr:to>
    <xdr:graphicFrame macro="">
      <xdr:nvGraphicFramePr>
        <xdr:cNvPr id="26" name="Chart 25">
          <a:extLst>
            <a:ext uri="{FF2B5EF4-FFF2-40B4-BE49-F238E27FC236}">
              <a16:creationId xmlns:a16="http://schemas.microsoft.com/office/drawing/2014/main" id="{DF6D2EC3-F6E9-4B64-A415-2134B3625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200025</xdr:colOff>
      <xdr:row>4</xdr:row>
      <xdr:rowOff>152400</xdr:rowOff>
    </xdr:from>
    <xdr:to>
      <xdr:col>2</xdr:col>
      <xdr:colOff>581025</xdr:colOff>
      <xdr:row>20</xdr:row>
      <xdr:rowOff>38100</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97B2EB54-06ED-47D7-90EB-06FB5900FEA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00025" y="914400"/>
              <a:ext cx="160020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314325</xdr:colOff>
      <xdr:row>5</xdr:row>
      <xdr:rowOff>142876</xdr:rowOff>
    </xdr:from>
    <xdr:to>
      <xdr:col>6</xdr:col>
      <xdr:colOff>200024</xdr:colOff>
      <xdr:row>8</xdr:row>
      <xdr:rowOff>133350</xdr:rowOff>
    </xdr:to>
    <xdr:sp macro="" textlink="">
      <xdr:nvSpPr>
        <xdr:cNvPr id="31" name="TextBox 30">
          <a:extLst>
            <a:ext uri="{FF2B5EF4-FFF2-40B4-BE49-F238E27FC236}">
              <a16:creationId xmlns:a16="http://schemas.microsoft.com/office/drawing/2014/main" id="{EA60E93F-ED00-0CE3-A87C-4694996D11C0}"/>
            </a:ext>
          </a:extLst>
        </xdr:cNvPr>
        <xdr:cNvSpPr txBox="1"/>
      </xdr:nvSpPr>
      <xdr:spPr>
        <a:xfrm>
          <a:off x="2143125" y="1095376"/>
          <a:ext cx="1714499" cy="56197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Sales</a:t>
          </a:r>
          <a:r>
            <a:rPr lang="en-IN" sz="2400"/>
            <a:t>	</a:t>
          </a:r>
        </a:p>
      </xdr:txBody>
    </xdr:sp>
    <xdr:clientData/>
  </xdr:twoCellAnchor>
  <xdr:twoCellAnchor>
    <xdr:from>
      <xdr:col>6</xdr:col>
      <xdr:colOff>428625</xdr:colOff>
      <xdr:row>5</xdr:row>
      <xdr:rowOff>142875</xdr:rowOff>
    </xdr:from>
    <xdr:to>
      <xdr:col>9</xdr:col>
      <xdr:colOff>504825</xdr:colOff>
      <xdr:row>9</xdr:row>
      <xdr:rowOff>28574</xdr:rowOff>
    </xdr:to>
    <xdr:sp macro="" textlink="'Pivot Table-1'!H22">
      <xdr:nvSpPr>
        <xdr:cNvPr id="32" name="TextBox 31">
          <a:extLst>
            <a:ext uri="{FF2B5EF4-FFF2-40B4-BE49-F238E27FC236}">
              <a16:creationId xmlns:a16="http://schemas.microsoft.com/office/drawing/2014/main" id="{14B2AAD8-5916-FDD1-01A0-DDF26E1BF85D}"/>
            </a:ext>
          </a:extLst>
        </xdr:cNvPr>
        <xdr:cNvSpPr txBox="1"/>
      </xdr:nvSpPr>
      <xdr:spPr>
        <a:xfrm>
          <a:off x="4086225" y="1095375"/>
          <a:ext cx="1905000" cy="647699"/>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FD3950-E048-4C50-B186-2800CDBB4607}" type="TxLink">
            <a:rPr lang="en-US" sz="3600" b="0" i="0" u="none" strike="noStrike">
              <a:solidFill>
                <a:schemeClr val="bg1"/>
              </a:solidFill>
              <a:latin typeface="Calibri"/>
              <a:ea typeface="Calibri"/>
              <a:cs typeface="Calibri"/>
            </a:rPr>
            <a:pPr algn="ctr"/>
            <a:t>7662785</a:t>
          </a:fld>
          <a:endParaRPr lang="en-IN" sz="3600">
            <a:solidFill>
              <a:schemeClr val="bg1"/>
            </a:solidFill>
          </a:endParaRPr>
        </a:p>
      </xdr:txBody>
    </xdr:sp>
    <xdr:clientData/>
  </xdr:twoCellAnchor>
  <xdr:twoCellAnchor>
    <xdr:from>
      <xdr:col>10</xdr:col>
      <xdr:colOff>276225</xdr:colOff>
      <xdr:row>5</xdr:row>
      <xdr:rowOff>171450</xdr:rowOff>
    </xdr:from>
    <xdr:to>
      <xdr:col>13</xdr:col>
      <xdr:colOff>542925</xdr:colOff>
      <xdr:row>9</xdr:row>
      <xdr:rowOff>38100</xdr:rowOff>
    </xdr:to>
    <xdr:sp macro="" textlink="">
      <xdr:nvSpPr>
        <xdr:cNvPr id="33" name="TextBox 32">
          <a:extLst>
            <a:ext uri="{FF2B5EF4-FFF2-40B4-BE49-F238E27FC236}">
              <a16:creationId xmlns:a16="http://schemas.microsoft.com/office/drawing/2014/main" id="{171B6ECF-2E68-0261-0469-ADBC0A25D53C}"/>
            </a:ext>
          </a:extLst>
        </xdr:cNvPr>
        <xdr:cNvSpPr txBox="1"/>
      </xdr:nvSpPr>
      <xdr:spPr>
        <a:xfrm>
          <a:off x="6372225" y="1123950"/>
          <a:ext cx="2095500" cy="628650"/>
        </a:xfrm>
        <a:prstGeom prst="rect">
          <a:avLst/>
        </a:prstGeom>
        <a:solidFill>
          <a:schemeClr val="accent1">
            <a:lumMod val="40000"/>
            <a:lumOff val="6000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Profit</a:t>
          </a:r>
          <a:endParaRPr lang="en-IN" sz="1800" b="1"/>
        </a:p>
      </xdr:txBody>
    </xdr:sp>
    <xdr:clientData/>
  </xdr:twoCellAnchor>
  <xdr:twoCellAnchor>
    <xdr:from>
      <xdr:col>14</xdr:col>
      <xdr:colOff>304801</xdr:colOff>
      <xdr:row>5</xdr:row>
      <xdr:rowOff>161925</xdr:rowOff>
    </xdr:from>
    <xdr:to>
      <xdr:col>18</xdr:col>
      <xdr:colOff>85725</xdr:colOff>
      <xdr:row>9</xdr:row>
      <xdr:rowOff>28575</xdr:rowOff>
    </xdr:to>
    <xdr:sp macro="" textlink="'Pivot Table-1'!H23">
      <xdr:nvSpPr>
        <xdr:cNvPr id="34" name="TextBox 33">
          <a:extLst>
            <a:ext uri="{FF2B5EF4-FFF2-40B4-BE49-F238E27FC236}">
              <a16:creationId xmlns:a16="http://schemas.microsoft.com/office/drawing/2014/main" id="{3FBD59D2-426E-3442-89AB-07A49D456DBB}"/>
            </a:ext>
          </a:extLst>
        </xdr:cNvPr>
        <xdr:cNvSpPr txBox="1"/>
      </xdr:nvSpPr>
      <xdr:spPr>
        <a:xfrm>
          <a:off x="8839201" y="1114425"/>
          <a:ext cx="2219324" cy="62865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fld id="{1C9D43E0-9CA6-4BDB-854D-3AC194A0AE63}" type="TxLink">
            <a:rPr lang="en-US" sz="4000" b="0" i="0" u="none" strike="noStrike">
              <a:solidFill>
                <a:schemeClr val="bg1"/>
              </a:solidFill>
              <a:latin typeface="Calibri"/>
              <a:ea typeface="Calibri"/>
              <a:cs typeface="Calibri"/>
            </a:rPr>
            <a:pPr algn="ctr"/>
            <a:t>1532557</a:t>
          </a:fld>
          <a:endParaRPr lang="en-IN" sz="4000">
            <a:solidFill>
              <a:schemeClr val="bg1"/>
            </a:solidFill>
          </a:endParaRPr>
        </a:p>
      </xdr:txBody>
    </xdr:sp>
    <xdr:clientData/>
  </xdr:twoCellAnchor>
  <xdr:twoCellAnchor>
    <xdr:from>
      <xdr:col>18</xdr:col>
      <xdr:colOff>457200</xdr:colOff>
      <xdr:row>6</xdr:row>
      <xdr:rowOff>9525</xdr:rowOff>
    </xdr:from>
    <xdr:to>
      <xdr:col>21</xdr:col>
      <xdr:colOff>380999</xdr:colOff>
      <xdr:row>9</xdr:row>
      <xdr:rowOff>19050</xdr:rowOff>
    </xdr:to>
    <xdr:sp macro="" textlink="">
      <xdr:nvSpPr>
        <xdr:cNvPr id="35" name="TextBox 34">
          <a:extLst>
            <a:ext uri="{FF2B5EF4-FFF2-40B4-BE49-F238E27FC236}">
              <a16:creationId xmlns:a16="http://schemas.microsoft.com/office/drawing/2014/main" id="{D0895081-62D1-8F4B-424B-C53243286C5A}"/>
            </a:ext>
          </a:extLst>
        </xdr:cNvPr>
        <xdr:cNvSpPr txBox="1"/>
      </xdr:nvSpPr>
      <xdr:spPr>
        <a:xfrm>
          <a:off x="11430000" y="1152525"/>
          <a:ext cx="1752599" cy="5810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Quantity</a:t>
          </a:r>
          <a:endParaRPr lang="en-IN" sz="2000" b="1"/>
        </a:p>
      </xdr:txBody>
    </xdr:sp>
    <xdr:clientData/>
  </xdr:twoCellAnchor>
  <xdr:twoCellAnchor>
    <xdr:from>
      <xdr:col>22</xdr:col>
      <xdr:colOff>38100</xdr:colOff>
      <xdr:row>5</xdr:row>
      <xdr:rowOff>180975</xdr:rowOff>
    </xdr:from>
    <xdr:to>
      <xdr:col>24</xdr:col>
      <xdr:colOff>419099</xdr:colOff>
      <xdr:row>9</xdr:row>
      <xdr:rowOff>0</xdr:rowOff>
    </xdr:to>
    <xdr:sp macro="" textlink="'Pivot Table-1'!H24">
      <xdr:nvSpPr>
        <xdr:cNvPr id="36" name="TextBox 35">
          <a:extLst>
            <a:ext uri="{FF2B5EF4-FFF2-40B4-BE49-F238E27FC236}">
              <a16:creationId xmlns:a16="http://schemas.microsoft.com/office/drawing/2014/main" id="{6614DEE1-9E60-D99A-12BE-3CF8337693EB}"/>
            </a:ext>
          </a:extLst>
        </xdr:cNvPr>
        <xdr:cNvSpPr txBox="1"/>
      </xdr:nvSpPr>
      <xdr:spPr>
        <a:xfrm>
          <a:off x="13449300" y="1133475"/>
          <a:ext cx="1600199" cy="5810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364347-8253-4517-B62B-50D642EE6873}" type="TxLink">
            <a:rPr lang="en-US" sz="4000" b="0" i="0" u="none" strike="noStrike">
              <a:solidFill>
                <a:schemeClr val="bg1"/>
              </a:solidFill>
              <a:latin typeface="Calibri"/>
              <a:ea typeface="Calibri"/>
              <a:cs typeface="Calibri"/>
            </a:rPr>
            <a:pPr algn="ctr"/>
            <a:t>1479</a:t>
          </a:fld>
          <a:endParaRPr lang="en-IN" sz="4000">
            <a:solidFill>
              <a:schemeClr val="bg1"/>
            </a:solidFill>
          </a:endParaRPr>
        </a:p>
      </xdr:txBody>
    </xdr:sp>
    <xdr:clientData/>
  </xdr:twoCellAnchor>
  <xdr:twoCellAnchor editAs="oneCell">
    <xdr:from>
      <xdr:col>0</xdr:col>
      <xdr:colOff>238124</xdr:colOff>
      <xdr:row>20</xdr:row>
      <xdr:rowOff>114300</xdr:rowOff>
    </xdr:from>
    <xdr:to>
      <xdr:col>2</xdr:col>
      <xdr:colOff>590549</xdr:colOff>
      <xdr:row>34</xdr:row>
      <xdr:rowOff>76200</xdr:rowOff>
    </xdr:to>
    <mc:AlternateContent xmlns:mc="http://schemas.openxmlformats.org/markup-compatibility/2006">
      <mc:Choice xmlns:a14="http://schemas.microsoft.com/office/drawing/2010/main" Requires="a14">
        <xdr:graphicFrame macro="">
          <xdr:nvGraphicFramePr>
            <xdr:cNvPr id="37" name="Channel">
              <a:extLst>
                <a:ext uri="{FF2B5EF4-FFF2-40B4-BE49-F238E27FC236}">
                  <a16:creationId xmlns:a16="http://schemas.microsoft.com/office/drawing/2014/main" id="{E34D71DE-4377-41C7-9199-2EA6238AD9F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38124" y="3924300"/>
              <a:ext cx="1571625"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561974</xdr:colOff>
      <xdr:row>4</xdr:row>
      <xdr:rowOff>161926</xdr:rowOff>
    </xdr:from>
    <xdr:to>
      <xdr:col>27</xdr:col>
      <xdr:colOff>228599</xdr:colOff>
      <xdr:row>13</xdr:row>
      <xdr:rowOff>9526</xdr:rowOff>
    </xdr:to>
    <mc:AlternateContent xmlns:mc="http://schemas.openxmlformats.org/markup-compatibility/2006">
      <mc:Choice xmlns:a14="http://schemas.microsoft.com/office/drawing/2010/main" Requires="a14">
        <xdr:graphicFrame macro="">
          <xdr:nvGraphicFramePr>
            <xdr:cNvPr id="38" name="Region 1">
              <a:extLst>
                <a:ext uri="{FF2B5EF4-FFF2-40B4-BE49-F238E27FC236}">
                  <a16:creationId xmlns:a16="http://schemas.microsoft.com/office/drawing/2014/main" id="{4E0F33F7-2958-4B9E-8DDC-609A2BD2BB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192374" y="923926"/>
              <a:ext cx="1495425"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561975</xdr:colOff>
      <xdr:row>13</xdr:row>
      <xdr:rowOff>85725</xdr:rowOff>
    </xdr:from>
    <xdr:to>
      <xdr:col>27</xdr:col>
      <xdr:colOff>200025</xdr:colOff>
      <xdr:row>35</xdr:row>
      <xdr:rowOff>9526</xdr:rowOff>
    </xdr:to>
    <mc:AlternateContent xmlns:mc="http://schemas.openxmlformats.org/markup-compatibility/2006">
      <mc:Choice xmlns:a14="http://schemas.microsoft.com/office/drawing/2010/main" Requires="a14">
        <xdr:graphicFrame macro="">
          <xdr:nvGraphicFramePr>
            <xdr:cNvPr id="39" name="Months 1">
              <a:extLst>
                <a:ext uri="{FF2B5EF4-FFF2-40B4-BE49-F238E27FC236}">
                  <a16:creationId xmlns:a16="http://schemas.microsoft.com/office/drawing/2014/main" id="{50BB7D20-A08D-401D-8519-74B47952D784}"/>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5192375" y="2562225"/>
              <a:ext cx="1466850" cy="4114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0</xdr:row>
      <xdr:rowOff>180975</xdr:rowOff>
    </xdr:from>
    <xdr:to>
      <xdr:col>27</xdr:col>
      <xdr:colOff>28575</xdr:colOff>
      <xdr:row>3</xdr:row>
      <xdr:rowOff>171450</xdr:rowOff>
    </xdr:to>
    <xdr:sp macro="" textlink="">
      <xdr:nvSpPr>
        <xdr:cNvPr id="40" name="TextBox 39">
          <a:extLst>
            <a:ext uri="{FF2B5EF4-FFF2-40B4-BE49-F238E27FC236}">
              <a16:creationId xmlns:a16="http://schemas.microsoft.com/office/drawing/2014/main" id="{928AF15E-4540-F0A7-74DB-4AF58BA5EE21}"/>
            </a:ext>
          </a:extLst>
        </xdr:cNvPr>
        <xdr:cNvSpPr txBox="1"/>
      </xdr:nvSpPr>
      <xdr:spPr>
        <a:xfrm>
          <a:off x="171450" y="180975"/>
          <a:ext cx="16316325" cy="5619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a:solidFill>
                <a:schemeClr val="dk1"/>
              </a:solidFill>
              <a:effectLst/>
              <a:latin typeface="+mn-lt"/>
              <a:ea typeface="+mn-ea"/>
              <a:cs typeface="+mn-cs"/>
            </a:rPr>
            <a:t>Bumber Sale</a:t>
          </a:r>
          <a:r>
            <a:rPr lang="en-IN" sz="3200" b="1" baseline="0">
              <a:solidFill>
                <a:schemeClr val="dk1"/>
              </a:solidFill>
              <a:effectLst/>
              <a:latin typeface="+mn-lt"/>
              <a:ea typeface="+mn-ea"/>
              <a:cs typeface="+mn-cs"/>
            </a:rPr>
            <a:t> Dashboard Year 2025</a:t>
          </a:r>
          <a:endParaRPr lang="en-IN" sz="3200" b="1">
            <a:effectLst/>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8" refreshedDate="46211.46530520833" createdVersion="8" refreshedVersion="8" minRefreshableVersion="3" recordCount="300" xr:uid="{DF16EC6E-DF47-4AD3-92E4-D3642179A280}">
  <cacheSource type="worksheet">
    <worksheetSource ref="A1:J301" sheet="sales_data_large"/>
  </cacheSource>
  <cacheFields count="11">
    <cacheField name="OrderID" numFmtId="0">
      <sharedItems containsSemiMixedTypes="0" containsString="0" containsNumber="1" containsInteger="1" minValue="1001" maxValue="1300"/>
    </cacheField>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4154092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8" refreshedDate="46211.646583912036" createdVersion="8" refreshedVersion="8" minRefreshableVersion="3" recordCount="300" xr:uid="{A3CD41A3-DE04-46F2-83D1-0ED4314BBFD9}">
  <cacheSource type="worksheet">
    <worksheetSource ref="A1:K301" sheet="sales_data_large"/>
  </cacheSource>
  <cacheFields count="12">
    <cacheField name="OrderID" numFmtId="0">
      <sharedItems containsSemiMixedTypes="0" containsString="0" containsNumber="1" containsInteger="1" minValue="1001" maxValue="1300"/>
    </cacheField>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Channel" numFmtId="0">
      <sharedItems count="4">
        <s v="Ecommerce"/>
        <s v="Social Media"/>
        <s v="Stores"/>
        <s v="Affiliates"/>
      </sharedItems>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1989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Vikas"/>
    <x v="0"/>
    <x v="0"/>
    <x v="0"/>
    <n v="1"/>
    <n v="13875"/>
    <x v="0"/>
    <x v="0"/>
    <n v="2775"/>
  </r>
  <r>
    <n v="1002"/>
    <s v="Sneha"/>
    <x v="1"/>
    <x v="1"/>
    <x v="1"/>
    <n v="6"/>
    <n v="2622"/>
    <x v="1"/>
    <x v="1"/>
    <n v="524.4"/>
  </r>
  <r>
    <n v="1003"/>
    <s v="Anita"/>
    <x v="0"/>
    <x v="2"/>
    <x v="2"/>
    <n v="5"/>
    <n v="49756"/>
    <x v="2"/>
    <x v="2"/>
    <n v="9951.2000000000007"/>
  </r>
  <r>
    <n v="1004"/>
    <s v="Karan"/>
    <x v="0"/>
    <x v="3"/>
    <x v="3"/>
    <n v="4"/>
    <n v="41809"/>
    <x v="3"/>
    <x v="3"/>
    <n v="8361.7999999999993"/>
  </r>
  <r>
    <n v="1005"/>
    <s v="Vikas"/>
    <x v="2"/>
    <x v="2"/>
    <x v="2"/>
    <n v="3"/>
    <n v="17725"/>
    <x v="4"/>
    <x v="4"/>
    <n v="3545"/>
  </r>
  <r>
    <n v="1006"/>
    <s v="Neha"/>
    <x v="0"/>
    <x v="3"/>
    <x v="0"/>
    <n v="1"/>
    <n v="41760"/>
    <x v="5"/>
    <x v="5"/>
    <n v="8352"/>
  </r>
  <r>
    <n v="1007"/>
    <s v="Ravi"/>
    <x v="3"/>
    <x v="0"/>
    <x v="0"/>
    <n v="6"/>
    <n v="16646"/>
    <x v="6"/>
    <x v="6"/>
    <n v="3329.2"/>
  </r>
  <r>
    <n v="1008"/>
    <s v="Vikas"/>
    <x v="3"/>
    <x v="3"/>
    <x v="0"/>
    <n v="2"/>
    <n v="18029"/>
    <x v="7"/>
    <x v="7"/>
    <n v="3605.8"/>
  </r>
  <r>
    <n v="1009"/>
    <s v="Anita"/>
    <x v="1"/>
    <x v="0"/>
    <x v="4"/>
    <n v="8"/>
    <n v="30402"/>
    <x v="8"/>
    <x v="8"/>
    <n v="6080.4"/>
  </r>
  <r>
    <n v="1010"/>
    <s v="Karan"/>
    <x v="0"/>
    <x v="3"/>
    <x v="4"/>
    <n v="5"/>
    <n v="5263"/>
    <x v="9"/>
    <x v="9"/>
    <n v="1052.5999999999999"/>
  </r>
  <r>
    <n v="1011"/>
    <s v="Sneha"/>
    <x v="1"/>
    <x v="0"/>
    <x v="5"/>
    <n v="7"/>
    <n v="31987"/>
    <x v="10"/>
    <x v="10"/>
    <n v="6397.4"/>
  </r>
  <r>
    <n v="1012"/>
    <s v="Anita"/>
    <x v="3"/>
    <x v="3"/>
    <x v="5"/>
    <n v="2"/>
    <n v="47828"/>
    <x v="11"/>
    <x v="11"/>
    <n v="9565.6"/>
  </r>
  <r>
    <n v="1013"/>
    <s v="Anita"/>
    <x v="0"/>
    <x v="1"/>
    <x v="0"/>
    <n v="8"/>
    <n v="48924"/>
    <x v="12"/>
    <x v="12"/>
    <n v="9784.7999999999993"/>
  </r>
  <r>
    <n v="1014"/>
    <s v="Ravi"/>
    <x v="0"/>
    <x v="3"/>
    <x v="1"/>
    <n v="2"/>
    <n v="9646"/>
    <x v="13"/>
    <x v="13"/>
    <n v="1929.2"/>
  </r>
  <r>
    <n v="1015"/>
    <s v="Pooja"/>
    <x v="1"/>
    <x v="3"/>
    <x v="6"/>
    <n v="4"/>
    <n v="28529"/>
    <x v="14"/>
    <x v="14"/>
    <n v="5705.8"/>
  </r>
  <r>
    <n v="1016"/>
    <s v="Karan"/>
    <x v="3"/>
    <x v="1"/>
    <x v="4"/>
    <n v="1"/>
    <n v="12664"/>
    <x v="15"/>
    <x v="15"/>
    <n v="2532.8000000000002"/>
  </r>
  <r>
    <n v="1017"/>
    <s v="Priya"/>
    <x v="0"/>
    <x v="2"/>
    <x v="1"/>
    <n v="5"/>
    <n v="36737"/>
    <x v="16"/>
    <x v="16"/>
    <n v="7347.4"/>
  </r>
  <r>
    <n v="1018"/>
    <s v="Anita"/>
    <x v="1"/>
    <x v="2"/>
    <x v="7"/>
    <n v="9"/>
    <n v="36796"/>
    <x v="17"/>
    <x v="17"/>
    <n v="7359.2"/>
  </r>
  <r>
    <n v="1019"/>
    <s v="Pooja"/>
    <x v="3"/>
    <x v="3"/>
    <x v="4"/>
    <n v="1"/>
    <n v="25027"/>
    <x v="18"/>
    <x v="18"/>
    <n v="5005.3999999999996"/>
  </r>
  <r>
    <n v="1020"/>
    <s v="Priya"/>
    <x v="1"/>
    <x v="1"/>
    <x v="4"/>
    <n v="9"/>
    <n v="30373"/>
    <x v="19"/>
    <x v="19"/>
    <n v="6074.6"/>
  </r>
  <r>
    <n v="1021"/>
    <s v="Karan"/>
    <x v="2"/>
    <x v="3"/>
    <x v="5"/>
    <n v="8"/>
    <n v="37397"/>
    <x v="20"/>
    <x v="20"/>
    <n v="7479.4"/>
  </r>
  <r>
    <n v="1022"/>
    <s v="Amit"/>
    <x v="0"/>
    <x v="0"/>
    <x v="6"/>
    <n v="6"/>
    <n v="21609"/>
    <x v="21"/>
    <x v="21"/>
    <n v="4321.8"/>
  </r>
  <r>
    <n v="1023"/>
    <s v="Neha"/>
    <x v="2"/>
    <x v="0"/>
    <x v="6"/>
    <n v="7"/>
    <n v="36835"/>
    <x v="22"/>
    <x v="22"/>
    <n v="7367"/>
  </r>
  <r>
    <n v="1024"/>
    <s v="Pooja"/>
    <x v="3"/>
    <x v="3"/>
    <x v="3"/>
    <n v="3"/>
    <n v="39709"/>
    <x v="23"/>
    <x v="23"/>
    <n v="7941.8"/>
  </r>
  <r>
    <n v="1025"/>
    <s v="Deepak"/>
    <x v="2"/>
    <x v="2"/>
    <x v="2"/>
    <n v="1"/>
    <n v="20250"/>
    <x v="24"/>
    <x v="24"/>
    <n v="4050"/>
  </r>
  <r>
    <n v="1026"/>
    <s v="Amit"/>
    <x v="2"/>
    <x v="2"/>
    <x v="2"/>
    <n v="5"/>
    <n v="22172"/>
    <x v="25"/>
    <x v="25"/>
    <n v="4434.3999999999996"/>
  </r>
  <r>
    <n v="1027"/>
    <s v="Neha"/>
    <x v="3"/>
    <x v="3"/>
    <x v="2"/>
    <n v="2"/>
    <n v="12555"/>
    <x v="26"/>
    <x v="26"/>
    <n v="2511"/>
  </r>
  <r>
    <n v="1028"/>
    <s v="Ravi"/>
    <x v="1"/>
    <x v="3"/>
    <x v="2"/>
    <n v="5"/>
    <n v="22874"/>
    <x v="27"/>
    <x v="27"/>
    <n v="4574.8"/>
  </r>
  <r>
    <n v="1029"/>
    <s v="Vikas"/>
    <x v="2"/>
    <x v="0"/>
    <x v="7"/>
    <n v="8"/>
    <n v="14081"/>
    <x v="28"/>
    <x v="28"/>
    <n v="2816.2"/>
  </r>
  <r>
    <n v="1030"/>
    <s v="Sneha"/>
    <x v="1"/>
    <x v="2"/>
    <x v="7"/>
    <n v="9"/>
    <n v="25063"/>
    <x v="29"/>
    <x v="29"/>
    <n v="5012.6000000000004"/>
  </r>
  <r>
    <n v="1031"/>
    <s v="Deepak"/>
    <x v="2"/>
    <x v="3"/>
    <x v="4"/>
    <n v="2"/>
    <n v="7819"/>
    <x v="30"/>
    <x v="30"/>
    <n v="1563.8"/>
  </r>
  <r>
    <n v="1032"/>
    <s v="Ravi"/>
    <x v="1"/>
    <x v="0"/>
    <x v="0"/>
    <n v="3"/>
    <n v="26712"/>
    <x v="31"/>
    <x v="31"/>
    <n v="5342.4"/>
  </r>
  <r>
    <n v="1033"/>
    <s v="Karan"/>
    <x v="3"/>
    <x v="2"/>
    <x v="5"/>
    <n v="3"/>
    <n v="25762"/>
    <x v="32"/>
    <x v="32"/>
    <n v="5152.3999999999996"/>
  </r>
  <r>
    <n v="1034"/>
    <s v="Ravi"/>
    <x v="2"/>
    <x v="1"/>
    <x v="5"/>
    <n v="1"/>
    <n v="12046"/>
    <x v="33"/>
    <x v="33"/>
    <n v="2409.1999999999998"/>
  </r>
  <r>
    <n v="1035"/>
    <s v="Vikas"/>
    <x v="3"/>
    <x v="0"/>
    <x v="2"/>
    <n v="8"/>
    <n v="32463"/>
    <x v="34"/>
    <x v="34"/>
    <n v="6492.6"/>
  </r>
  <r>
    <n v="1036"/>
    <s v="Karan"/>
    <x v="2"/>
    <x v="2"/>
    <x v="4"/>
    <n v="6"/>
    <n v="29769"/>
    <x v="35"/>
    <x v="35"/>
    <n v="5953.8"/>
  </r>
  <r>
    <n v="1037"/>
    <s v="Deepak"/>
    <x v="3"/>
    <x v="2"/>
    <x v="3"/>
    <n v="8"/>
    <n v="24150"/>
    <x v="36"/>
    <x v="36"/>
    <n v="4830"/>
  </r>
  <r>
    <n v="1038"/>
    <s v="Vikas"/>
    <x v="3"/>
    <x v="0"/>
    <x v="1"/>
    <n v="9"/>
    <n v="3711"/>
    <x v="37"/>
    <x v="37"/>
    <n v="742.2"/>
  </r>
  <r>
    <n v="1039"/>
    <s v="Priya"/>
    <x v="2"/>
    <x v="1"/>
    <x v="0"/>
    <n v="5"/>
    <n v="5853"/>
    <x v="38"/>
    <x v="38"/>
    <n v="1170.5999999999999"/>
  </r>
  <r>
    <n v="1040"/>
    <s v="Sneha"/>
    <x v="2"/>
    <x v="0"/>
    <x v="4"/>
    <n v="3"/>
    <n v="30077"/>
    <x v="39"/>
    <x v="39"/>
    <n v="6015.4"/>
  </r>
  <r>
    <n v="1041"/>
    <s v="Deepak"/>
    <x v="2"/>
    <x v="2"/>
    <x v="0"/>
    <n v="5"/>
    <n v="24863"/>
    <x v="40"/>
    <x v="40"/>
    <n v="4972.6000000000004"/>
  </r>
  <r>
    <n v="1042"/>
    <s v="Priya"/>
    <x v="0"/>
    <x v="3"/>
    <x v="0"/>
    <n v="5"/>
    <n v="22792"/>
    <x v="41"/>
    <x v="41"/>
    <n v="4558.3999999999996"/>
  </r>
  <r>
    <n v="1043"/>
    <s v="Neha"/>
    <x v="1"/>
    <x v="3"/>
    <x v="0"/>
    <n v="5"/>
    <n v="41483"/>
    <x v="42"/>
    <x v="42"/>
    <n v="8296.6"/>
  </r>
  <r>
    <n v="1044"/>
    <s v="Deepak"/>
    <x v="0"/>
    <x v="0"/>
    <x v="4"/>
    <n v="3"/>
    <n v="9942"/>
    <x v="43"/>
    <x v="43"/>
    <n v="1988.4"/>
  </r>
  <r>
    <n v="1045"/>
    <s v="Neha"/>
    <x v="0"/>
    <x v="2"/>
    <x v="2"/>
    <n v="4"/>
    <n v="49275"/>
    <x v="44"/>
    <x v="44"/>
    <n v="9855"/>
  </r>
  <r>
    <n v="1046"/>
    <s v="Karan"/>
    <x v="3"/>
    <x v="3"/>
    <x v="5"/>
    <n v="9"/>
    <n v="49594"/>
    <x v="45"/>
    <x v="45"/>
    <n v="9918.7999999999993"/>
  </r>
  <r>
    <n v="1047"/>
    <s v="Priya"/>
    <x v="2"/>
    <x v="2"/>
    <x v="5"/>
    <n v="9"/>
    <n v="2762"/>
    <x v="46"/>
    <x v="46"/>
    <n v="552.4"/>
  </r>
  <r>
    <n v="1048"/>
    <s v="Sneha"/>
    <x v="1"/>
    <x v="0"/>
    <x v="2"/>
    <n v="2"/>
    <n v="32987"/>
    <x v="47"/>
    <x v="47"/>
    <n v="6597.4"/>
  </r>
  <r>
    <n v="1049"/>
    <s v="Vikas"/>
    <x v="3"/>
    <x v="3"/>
    <x v="0"/>
    <n v="8"/>
    <n v="16850"/>
    <x v="48"/>
    <x v="48"/>
    <n v="3370"/>
  </r>
  <r>
    <n v="1050"/>
    <s v="Anita"/>
    <x v="0"/>
    <x v="2"/>
    <x v="1"/>
    <n v="8"/>
    <n v="13112"/>
    <x v="49"/>
    <x v="49"/>
    <n v="2622.4"/>
  </r>
  <r>
    <n v="1051"/>
    <s v="Ravi"/>
    <x v="2"/>
    <x v="3"/>
    <x v="6"/>
    <n v="7"/>
    <n v="25058"/>
    <x v="50"/>
    <x v="50"/>
    <n v="5011.6000000000004"/>
  </r>
  <r>
    <n v="1052"/>
    <s v="Amit"/>
    <x v="3"/>
    <x v="0"/>
    <x v="4"/>
    <n v="8"/>
    <n v="46420"/>
    <x v="51"/>
    <x v="51"/>
    <n v="9284"/>
  </r>
  <r>
    <n v="1053"/>
    <s v="Sneha"/>
    <x v="2"/>
    <x v="2"/>
    <x v="6"/>
    <n v="3"/>
    <n v="39890"/>
    <x v="52"/>
    <x v="52"/>
    <n v="7978"/>
  </r>
  <r>
    <n v="1054"/>
    <s v="Priya"/>
    <x v="3"/>
    <x v="3"/>
    <x v="3"/>
    <n v="6"/>
    <n v="1481"/>
    <x v="53"/>
    <x v="53"/>
    <n v="296.2"/>
  </r>
  <r>
    <n v="1055"/>
    <s v="Anita"/>
    <x v="2"/>
    <x v="0"/>
    <x v="2"/>
    <n v="1"/>
    <n v="48304"/>
    <x v="54"/>
    <x v="54"/>
    <n v="9660.7999999999993"/>
  </r>
  <r>
    <n v="1056"/>
    <s v="Sneha"/>
    <x v="0"/>
    <x v="3"/>
    <x v="1"/>
    <n v="7"/>
    <n v="33921"/>
    <x v="55"/>
    <x v="55"/>
    <n v="6784.2"/>
  </r>
  <r>
    <n v="1057"/>
    <s v="Priya"/>
    <x v="1"/>
    <x v="3"/>
    <x v="4"/>
    <n v="1"/>
    <n v="41385"/>
    <x v="56"/>
    <x v="56"/>
    <n v="8277"/>
  </r>
  <r>
    <n v="1058"/>
    <s v="Pooja"/>
    <x v="0"/>
    <x v="1"/>
    <x v="2"/>
    <n v="9"/>
    <n v="2524"/>
    <x v="57"/>
    <x v="57"/>
    <n v="504.8"/>
  </r>
  <r>
    <n v="1059"/>
    <s v="Pooja"/>
    <x v="1"/>
    <x v="1"/>
    <x v="0"/>
    <n v="1"/>
    <n v="35888"/>
    <x v="58"/>
    <x v="58"/>
    <n v="7177.6"/>
  </r>
  <r>
    <n v="1060"/>
    <s v="Neha"/>
    <x v="2"/>
    <x v="0"/>
    <x v="5"/>
    <n v="1"/>
    <n v="16048"/>
    <x v="59"/>
    <x v="59"/>
    <n v="3209.6"/>
  </r>
  <r>
    <n v="1061"/>
    <s v="Sneha"/>
    <x v="3"/>
    <x v="1"/>
    <x v="6"/>
    <n v="7"/>
    <n v="36111"/>
    <x v="60"/>
    <x v="60"/>
    <n v="7222.2"/>
  </r>
  <r>
    <n v="1062"/>
    <s v="Pooja"/>
    <x v="0"/>
    <x v="0"/>
    <x v="7"/>
    <n v="2"/>
    <n v="38904"/>
    <x v="61"/>
    <x v="61"/>
    <n v="7780.8"/>
  </r>
  <r>
    <n v="1063"/>
    <s v="Priya"/>
    <x v="1"/>
    <x v="1"/>
    <x v="7"/>
    <n v="5"/>
    <n v="35008"/>
    <x v="62"/>
    <x v="62"/>
    <n v="7001.6"/>
  </r>
  <r>
    <n v="1064"/>
    <s v="Neha"/>
    <x v="0"/>
    <x v="3"/>
    <x v="1"/>
    <n v="8"/>
    <n v="1060"/>
    <x v="63"/>
    <x v="63"/>
    <n v="212"/>
  </r>
  <r>
    <n v="1065"/>
    <s v="Priya"/>
    <x v="1"/>
    <x v="0"/>
    <x v="0"/>
    <n v="8"/>
    <n v="10130"/>
    <x v="64"/>
    <x v="64"/>
    <n v="2026"/>
  </r>
  <r>
    <n v="1066"/>
    <s v="Neha"/>
    <x v="0"/>
    <x v="0"/>
    <x v="3"/>
    <n v="3"/>
    <n v="19023"/>
    <x v="65"/>
    <x v="65"/>
    <n v="3804.6"/>
  </r>
  <r>
    <n v="1067"/>
    <s v="Sneha"/>
    <x v="1"/>
    <x v="3"/>
    <x v="6"/>
    <n v="7"/>
    <n v="46080"/>
    <x v="66"/>
    <x v="66"/>
    <n v="9216"/>
  </r>
  <r>
    <n v="1068"/>
    <s v="Anita"/>
    <x v="1"/>
    <x v="0"/>
    <x v="0"/>
    <n v="3"/>
    <n v="14350"/>
    <x v="67"/>
    <x v="67"/>
    <n v="2870"/>
  </r>
  <r>
    <n v="1069"/>
    <s v="Vikas"/>
    <x v="2"/>
    <x v="0"/>
    <x v="6"/>
    <n v="6"/>
    <n v="25354"/>
    <x v="68"/>
    <x v="68"/>
    <n v="5070.8"/>
  </r>
  <r>
    <n v="1070"/>
    <s v="Deepak"/>
    <x v="1"/>
    <x v="1"/>
    <x v="1"/>
    <n v="6"/>
    <n v="46186"/>
    <x v="69"/>
    <x v="69"/>
    <n v="9237.2000000000007"/>
  </r>
  <r>
    <n v="1071"/>
    <s v="Anita"/>
    <x v="2"/>
    <x v="0"/>
    <x v="1"/>
    <n v="3"/>
    <n v="29145"/>
    <x v="70"/>
    <x v="70"/>
    <n v="5829"/>
  </r>
  <r>
    <n v="1072"/>
    <s v="Karan"/>
    <x v="1"/>
    <x v="2"/>
    <x v="3"/>
    <n v="7"/>
    <n v="35020"/>
    <x v="71"/>
    <x v="71"/>
    <n v="7004"/>
  </r>
  <r>
    <n v="1073"/>
    <s v="Priya"/>
    <x v="3"/>
    <x v="3"/>
    <x v="7"/>
    <n v="3"/>
    <n v="21587"/>
    <x v="72"/>
    <x v="72"/>
    <n v="4317.3999999999996"/>
  </r>
  <r>
    <n v="1074"/>
    <s v="Karan"/>
    <x v="3"/>
    <x v="1"/>
    <x v="0"/>
    <n v="8"/>
    <n v="42131"/>
    <x v="73"/>
    <x v="73"/>
    <n v="8426.2000000000007"/>
  </r>
  <r>
    <n v="1075"/>
    <s v="Anita"/>
    <x v="3"/>
    <x v="1"/>
    <x v="4"/>
    <n v="4"/>
    <n v="10650"/>
    <x v="74"/>
    <x v="74"/>
    <n v="2130"/>
  </r>
  <r>
    <n v="1076"/>
    <s v="Neha"/>
    <x v="1"/>
    <x v="2"/>
    <x v="7"/>
    <n v="1"/>
    <n v="20933"/>
    <x v="75"/>
    <x v="75"/>
    <n v="4186.6000000000004"/>
  </r>
  <r>
    <n v="1077"/>
    <s v="Deepak"/>
    <x v="2"/>
    <x v="3"/>
    <x v="0"/>
    <n v="4"/>
    <n v="21581"/>
    <x v="76"/>
    <x v="76"/>
    <n v="4316.2"/>
  </r>
  <r>
    <n v="1078"/>
    <s v="Deepak"/>
    <x v="2"/>
    <x v="3"/>
    <x v="7"/>
    <n v="7"/>
    <n v="24393"/>
    <x v="77"/>
    <x v="77"/>
    <n v="4878.6000000000004"/>
  </r>
  <r>
    <n v="1079"/>
    <s v="Amit"/>
    <x v="1"/>
    <x v="1"/>
    <x v="4"/>
    <n v="4"/>
    <n v="24051"/>
    <x v="78"/>
    <x v="78"/>
    <n v="4810.2"/>
  </r>
  <r>
    <n v="1080"/>
    <s v="Deepak"/>
    <x v="3"/>
    <x v="0"/>
    <x v="5"/>
    <n v="6"/>
    <n v="27212"/>
    <x v="79"/>
    <x v="79"/>
    <n v="5442.4"/>
  </r>
  <r>
    <n v="1081"/>
    <s v="Vikas"/>
    <x v="3"/>
    <x v="1"/>
    <x v="5"/>
    <n v="9"/>
    <n v="5090"/>
    <x v="80"/>
    <x v="80"/>
    <n v="1018"/>
  </r>
  <r>
    <n v="1082"/>
    <s v="Deepak"/>
    <x v="2"/>
    <x v="3"/>
    <x v="3"/>
    <n v="1"/>
    <n v="7960"/>
    <x v="81"/>
    <x v="81"/>
    <n v="1592"/>
  </r>
  <r>
    <n v="1083"/>
    <s v="Anita"/>
    <x v="3"/>
    <x v="2"/>
    <x v="5"/>
    <n v="5"/>
    <n v="36772"/>
    <x v="82"/>
    <x v="82"/>
    <n v="7354.4"/>
  </r>
  <r>
    <n v="1084"/>
    <s v="Amit"/>
    <x v="0"/>
    <x v="1"/>
    <x v="5"/>
    <n v="7"/>
    <n v="22520"/>
    <x v="83"/>
    <x v="83"/>
    <n v="4504"/>
  </r>
  <r>
    <n v="1085"/>
    <s v="Anita"/>
    <x v="2"/>
    <x v="3"/>
    <x v="2"/>
    <n v="1"/>
    <n v="37408"/>
    <x v="84"/>
    <x v="84"/>
    <n v="7481.6"/>
  </r>
  <r>
    <n v="1086"/>
    <s v="Anita"/>
    <x v="3"/>
    <x v="1"/>
    <x v="6"/>
    <n v="4"/>
    <n v="29470"/>
    <x v="85"/>
    <x v="85"/>
    <n v="5894"/>
  </r>
  <r>
    <n v="1087"/>
    <s v="Ravi"/>
    <x v="2"/>
    <x v="0"/>
    <x v="2"/>
    <n v="6"/>
    <n v="21491"/>
    <x v="86"/>
    <x v="86"/>
    <n v="4298.2"/>
  </r>
  <r>
    <n v="1088"/>
    <s v="Amit"/>
    <x v="0"/>
    <x v="1"/>
    <x v="2"/>
    <n v="2"/>
    <n v="2341"/>
    <x v="87"/>
    <x v="87"/>
    <n v="468.2"/>
  </r>
  <r>
    <n v="1089"/>
    <s v="Anita"/>
    <x v="2"/>
    <x v="1"/>
    <x v="3"/>
    <n v="5"/>
    <n v="45623"/>
    <x v="88"/>
    <x v="88"/>
    <n v="9124.6"/>
  </r>
  <r>
    <n v="1090"/>
    <s v="Ravi"/>
    <x v="2"/>
    <x v="3"/>
    <x v="2"/>
    <n v="1"/>
    <n v="25791"/>
    <x v="89"/>
    <x v="89"/>
    <n v="5158.2"/>
  </r>
  <r>
    <n v="1091"/>
    <s v="Ravi"/>
    <x v="2"/>
    <x v="3"/>
    <x v="5"/>
    <n v="6"/>
    <n v="1338"/>
    <x v="90"/>
    <x v="90"/>
    <n v="267.60000000000002"/>
  </r>
  <r>
    <n v="1092"/>
    <s v="Amit"/>
    <x v="2"/>
    <x v="3"/>
    <x v="4"/>
    <n v="6"/>
    <n v="6895"/>
    <x v="91"/>
    <x v="91"/>
    <n v="1379"/>
  </r>
  <r>
    <n v="1093"/>
    <s v="Karan"/>
    <x v="0"/>
    <x v="1"/>
    <x v="3"/>
    <n v="4"/>
    <n v="13254"/>
    <x v="92"/>
    <x v="92"/>
    <n v="2650.8"/>
  </r>
  <r>
    <n v="1094"/>
    <s v="Neha"/>
    <x v="1"/>
    <x v="0"/>
    <x v="3"/>
    <n v="8"/>
    <n v="12344"/>
    <x v="93"/>
    <x v="93"/>
    <n v="2468.8000000000002"/>
  </r>
  <r>
    <n v="1095"/>
    <s v="Vikas"/>
    <x v="2"/>
    <x v="2"/>
    <x v="1"/>
    <n v="4"/>
    <n v="2750"/>
    <x v="94"/>
    <x v="94"/>
    <n v="550"/>
  </r>
  <r>
    <n v="1096"/>
    <s v="Neha"/>
    <x v="2"/>
    <x v="2"/>
    <x v="3"/>
    <n v="8"/>
    <n v="3421"/>
    <x v="95"/>
    <x v="95"/>
    <n v="684.2"/>
  </r>
  <r>
    <n v="1097"/>
    <s v="Deepak"/>
    <x v="3"/>
    <x v="3"/>
    <x v="1"/>
    <n v="8"/>
    <n v="40887"/>
    <x v="96"/>
    <x v="96"/>
    <n v="8177.4"/>
  </r>
  <r>
    <n v="1098"/>
    <s v="Vikas"/>
    <x v="2"/>
    <x v="3"/>
    <x v="3"/>
    <n v="5"/>
    <n v="6319"/>
    <x v="97"/>
    <x v="97"/>
    <n v="1263.8"/>
  </r>
  <r>
    <n v="1099"/>
    <s v="Deepak"/>
    <x v="3"/>
    <x v="1"/>
    <x v="6"/>
    <n v="4"/>
    <n v="16896"/>
    <x v="98"/>
    <x v="98"/>
    <n v="3379.2"/>
  </r>
  <r>
    <n v="1100"/>
    <s v="Anita"/>
    <x v="1"/>
    <x v="2"/>
    <x v="5"/>
    <n v="2"/>
    <n v="12918"/>
    <x v="99"/>
    <x v="99"/>
    <n v="2583.6"/>
  </r>
  <r>
    <n v="1101"/>
    <s v="Priya"/>
    <x v="0"/>
    <x v="3"/>
    <x v="3"/>
    <n v="3"/>
    <n v="26064"/>
    <x v="100"/>
    <x v="100"/>
    <n v="5212.8"/>
  </r>
  <r>
    <n v="1102"/>
    <s v="Amit"/>
    <x v="0"/>
    <x v="0"/>
    <x v="5"/>
    <n v="3"/>
    <n v="47617"/>
    <x v="101"/>
    <x v="101"/>
    <n v="9523.4"/>
  </r>
  <r>
    <n v="1103"/>
    <s v="Vikas"/>
    <x v="1"/>
    <x v="0"/>
    <x v="5"/>
    <n v="4"/>
    <n v="28935"/>
    <x v="102"/>
    <x v="102"/>
    <n v="5787"/>
  </r>
  <r>
    <n v="1104"/>
    <s v="Vikas"/>
    <x v="0"/>
    <x v="3"/>
    <x v="7"/>
    <n v="4"/>
    <n v="38641"/>
    <x v="103"/>
    <x v="103"/>
    <n v="7728.2"/>
  </r>
  <r>
    <n v="1105"/>
    <s v="Anita"/>
    <x v="1"/>
    <x v="3"/>
    <x v="3"/>
    <n v="5"/>
    <n v="30711"/>
    <x v="104"/>
    <x v="104"/>
    <n v="6142.2"/>
  </r>
  <r>
    <n v="1106"/>
    <s v="Karan"/>
    <x v="1"/>
    <x v="2"/>
    <x v="0"/>
    <n v="4"/>
    <n v="5806"/>
    <x v="105"/>
    <x v="105"/>
    <n v="1161.2"/>
  </r>
  <r>
    <n v="1107"/>
    <s v="Ravi"/>
    <x v="1"/>
    <x v="2"/>
    <x v="7"/>
    <n v="8"/>
    <n v="42360"/>
    <x v="106"/>
    <x v="106"/>
    <n v="8472"/>
  </r>
  <r>
    <n v="1108"/>
    <s v="Anita"/>
    <x v="0"/>
    <x v="1"/>
    <x v="0"/>
    <n v="6"/>
    <n v="13182"/>
    <x v="107"/>
    <x v="107"/>
    <n v="2636.4"/>
  </r>
  <r>
    <n v="1109"/>
    <s v="Pooja"/>
    <x v="3"/>
    <x v="2"/>
    <x v="5"/>
    <n v="6"/>
    <n v="23297"/>
    <x v="108"/>
    <x v="108"/>
    <n v="4659.3999999999996"/>
  </r>
  <r>
    <n v="1110"/>
    <s v="Ravi"/>
    <x v="1"/>
    <x v="0"/>
    <x v="5"/>
    <n v="8"/>
    <n v="20541"/>
    <x v="109"/>
    <x v="109"/>
    <n v="4108.2"/>
  </r>
  <r>
    <n v="1111"/>
    <s v="Amit"/>
    <x v="2"/>
    <x v="0"/>
    <x v="7"/>
    <n v="7"/>
    <n v="29921"/>
    <x v="110"/>
    <x v="110"/>
    <n v="5984.2"/>
  </r>
  <r>
    <n v="1112"/>
    <s v="Ravi"/>
    <x v="0"/>
    <x v="3"/>
    <x v="7"/>
    <n v="8"/>
    <n v="17774"/>
    <x v="111"/>
    <x v="111"/>
    <n v="3554.8"/>
  </r>
  <r>
    <n v="1113"/>
    <s v="Karan"/>
    <x v="1"/>
    <x v="2"/>
    <x v="0"/>
    <n v="2"/>
    <n v="45813"/>
    <x v="112"/>
    <x v="112"/>
    <n v="9162.6"/>
  </r>
  <r>
    <n v="1114"/>
    <s v="Ravi"/>
    <x v="1"/>
    <x v="1"/>
    <x v="1"/>
    <n v="9"/>
    <n v="38198"/>
    <x v="113"/>
    <x v="113"/>
    <n v="7639.6"/>
  </r>
  <r>
    <n v="1115"/>
    <s v="Amit"/>
    <x v="2"/>
    <x v="0"/>
    <x v="0"/>
    <n v="1"/>
    <n v="9820"/>
    <x v="114"/>
    <x v="114"/>
    <n v="1964"/>
  </r>
  <r>
    <n v="1116"/>
    <s v="Karan"/>
    <x v="3"/>
    <x v="0"/>
    <x v="7"/>
    <n v="8"/>
    <n v="25070"/>
    <x v="115"/>
    <x v="115"/>
    <n v="5014"/>
  </r>
  <r>
    <n v="1117"/>
    <s v="Neha"/>
    <x v="3"/>
    <x v="1"/>
    <x v="4"/>
    <n v="4"/>
    <n v="5232"/>
    <x v="116"/>
    <x v="116"/>
    <n v="1046.4000000000001"/>
  </r>
  <r>
    <n v="1118"/>
    <s v="Vikas"/>
    <x v="3"/>
    <x v="1"/>
    <x v="7"/>
    <n v="4"/>
    <n v="12122"/>
    <x v="117"/>
    <x v="117"/>
    <n v="2424.4"/>
  </r>
  <r>
    <n v="1119"/>
    <s v="Vikas"/>
    <x v="1"/>
    <x v="0"/>
    <x v="4"/>
    <n v="5"/>
    <n v="16023"/>
    <x v="118"/>
    <x v="118"/>
    <n v="3204.6"/>
  </r>
  <r>
    <n v="1120"/>
    <s v="Deepak"/>
    <x v="1"/>
    <x v="0"/>
    <x v="6"/>
    <n v="8"/>
    <n v="9007"/>
    <x v="119"/>
    <x v="119"/>
    <n v="1801.4"/>
  </r>
  <r>
    <n v="1121"/>
    <s v="Neha"/>
    <x v="1"/>
    <x v="1"/>
    <x v="7"/>
    <n v="5"/>
    <n v="18905"/>
    <x v="120"/>
    <x v="120"/>
    <n v="3781"/>
  </r>
  <r>
    <n v="1122"/>
    <s v="Neha"/>
    <x v="0"/>
    <x v="0"/>
    <x v="6"/>
    <n v="8"/>
    <n v="42786"/>
    <x v="121"/>
    <x v="121"/>
    <n v="8557.2000000000007"/>
  </r>
  <r>
    <n v="1123"/>
    <s v="Ravi"/>
    <x v="2"/>
    <x v="3"/>
    <x v="1"/>
    <n v="1"/>
    <n v="30398"/>
    <x v="122"/>
    <x v="122"/>
    <n v="6079.6"/>
  </r>
  <r>
    <n v="1124"/>
    <s v="Vikas"/>
    <x v="1"/>
    <x v="3"/>
    <x v="0"/>
    <n v="9"/>
    <n v="35268"/>
    <x v="123"/>
    <x v="123"/>
    <n v="7053.6"/>
  </r>
  <r>
    <n v="1125"/>
    <s v="Amit"/>
    <x v="2"/>
    <x v="1"/>
    <x v="4"/>
    <n v="6"/>
    <n v="7737"/>
    <x v="124"/>
    <x v="124"/>
    <n v="1547.4"/>
  </r>
  <r>
    <n v="1126"/>
    <s v="Sneha"/>
    <x v="2"/>
    <x v="2"/>
    <x v="0"/>
    <n v="3"/>
    <n v="37062"/>
    <x v="125"/>
    <x v="125"/>
    <n v="7412.4"/>
  </r>
  <r>
    <n v="1127"/>
    <s v="Sneha"/>
    <x v="3"/>
    <x v="1"/>
    <x v="6"/>
    <n v="8"/>
    <n v="26510"/>
    <x v="126"/>
    <x v="126"/>
    <n v="5302"/>
  </r>
  <r>
    <n v="1128"/>
    <s v="Karan"/>
    <x v="0"/>
    <x v="1"/>
    <x v="4"/>
    <n v="9"/>
    <n v="20426"/>
    <x v="127"/>
    <x v="127"/>
    <n v="4085.2"/>
  </r>
  <r>
    <n v="1129"/>
    <s v="Vikas"/>
    <x v="1"/>
    <x v="2"/>
    <x v="0"/>
    <n v="6"/>
    <n v="38265"/>
    <x v="128"/>
    <x v="128"/>
    <n v="7653"/>
  </r>
  <r>
    <n v="1130"/>
    <s v="Vikas"/>
    <x v="3"/>
    <x v="2"/>
    <x v="7"/>
    <n v="7"/>
    <n v="18850"/>
    <x v="129"/>
    <x v="129"/>
    <n v="3770"/>
  </r>
  <r>
    <n v="1131"/>
    <s v="Sneha"/>
    <x v="3"/>
    <x v="2"/>
    <x v="5"/>
    <n v="1"/>
    <n v="1614"/>
    <x v="130"/>
    <x v="130"/>
    <n v="322.8"/>
  </r>
  <r>
    <n v="1132"/>
    <s v="Vikas"/>
    <x v="1"/>
    <x v="3"/>
    <x v="6"/>
    <n v="5"/>
    <n v="22776"/>
    <x v="131"/>
    <x v="131"/>
    <n v="4555.2"/>
  </r>
  <r>
    <n v="1133"/>
    <s v="Ravi"/>
    <x v="2"/>
    <x v="0"/>
    <x v="0"/>
    <n v="5"/>
    <n v="25077"/>
    <x v="132"/>
    <x v="132"/>
    <n v="5015.3999999999996"/>
  </r>
  <r>
    <n v="1134"/>
    <s v="Pooja"/>
    <x v="3"/>
    <x v="3"/>
    <x v="6"/>
    <n v="4"/>
    <n v="10374"/>
    <x v="133"/>
    <x v="133"/>
    <n v="2074.8000000000002"/>
  </r>
  <r>
    <n v="1135"/>
    <s v="Priya"/>
    <x v="2"/>
    <x v="0"/>
    <x v="2"/>
    <n v="6"/>
    <n v="36435"/>
    <x v="134"/>
    <x v="134"/>
    <n v="7287"/>
  </r>
  <r>
    <n v="1136"/>
    <s v="Neha"/>
    <x v="0"/>
    <x v="3"/>
    <x v="6"/>
    <n v="7"/>
    <n v="31907"/>
    <x v="135"/>
    <x v="135"/>
    <n v="6381.4"/>
  </r>
  <r>
    <n v="1137"/>
    <s v="Deepak"/>
    <x v="2"/>
    <x v="0"/>
    <x v="4"/>
    <n v="9"/>
    <n v="14409"/>
    <x v="136"/>
    <x v="136"/>
    <n v="2881.8"/>
  </r>
  <r>
    <n v="1138"/>
    <s v="Karan"/>
    <x v="0"/>
    <x v="3"/>
    <x v="2"/>
    <n v="1"/>
    <n v="17514"/>
    <x v="137"/>
    <x v="137"/>
    <n v="3502.8"/>
  </r>
  <r>
    <n v="1139"/>
    <s v="Pooja"/>
    <x v="2"/>
    <x v="2"/>
    <x v="3"/>
    <n v="6"/>
    <n v="30866"/>
    <x v="138"/>
    <x v="138"/>
    <n v="6173.2"/>
  </r>
  <r>
    <n v="1140"/>
    <s v="Sneha"/>
    <x v="3"/>
    <x v="1"/>
    <x v="4"/>
    <n v="7"/>
    <n v="3983"/>
    <x v="139"/>
    <x v="139"/>
    <n v="796.6"/>
  </r>
  <r>
    <n v="1141"/>
    <s v="Neha"/>
    <x v="3"/>
    <x v="3"/>
    <x v="5"/>
    <n v="3"/>
    <n v="32705"/>
    <x v="140"/>
    <x v="140"/>
    <n v="6541"/>
  </r>
  <r>
    <n v="1142"/>
    <s v="Vikas"/>
    <x v="0"/>
    <x v="0"/>
    <x v="2"/>
    <n v="8"/>
    <n v="21662"/>
    <x v="141"/>
    <x v="141"/>
    <n v="4332.3999999999996"/>
  </r>
  <r>
    <n v="1143"/>
    <s v="Deepak"/>
    <x v="1"/>
    <x v="2"/>
    <x v="3"/>
    <n v="5"/>
    <n v="24510"/>
    <x v="142"/>
    <x v="142"/>
    <n v="4902"/>
  </r>
  <r>
    <n v="1144"/>
    <s v="Vikas"/>
    <x v="0"/>
    <x v="3"/>
    <x v="7"/>
    <n v="9"/>
    <n v="13651"/>
    <x v="143"/>
    <x v="143"/>
    <n v="2730.2"/>
  </r>
  <r>
    <n v="1145"/>
    <s v="Amit"/>
    <x v="0"/>
    <x v="3"/>
    <x v="6"/>
    <n v="5"/>
    <n v="41998"/>
    <x v="144"/>
    <x v="144"/>
    <n v="8399.6"/>
  </r>
  <r>
    <n v="1146"/>
    <s v="Amit"/>
    <x v="2"/>
    <x v="2"/>
    <x v="0"/>
    <n v="9"/>
    <n v="29535"/>
    <x v="145"/>
    <x v="145"/>
    <n v="5907"/>
  </r>
  <r>
    <n v="1147"/>
    <s v="Deepak"/>
    <x v="2"/>
    <x v="3"/>
    <x v="1"/>
    <n v="4"/>
    <n v="7640"/>
    <x v="146"/>
    <x v="146"/>
    <n v="1528"/>
  </r>
  <r>
    <n v="1148"/>
    <s v="Deepak"/>
    <x v="0"/>
    <x v="1"/>
    <x v="6"/>
    <n v="9"/>
    <n v="45547"/>
    <x v="147"/>
    <x v="147"/>
    <n v="9109.4"/>
  </r>
  <r>
    <n v="1149"/>
    <s v="Sneha"/>
    <x v="3"/>
    <x v="3"/>
    <x v="3"/>
    <n v="5"/>
    <n v="16317"/>
    <x v="148"/>
    <x v="148"/>
    <n v="3263.4"/>
  </r>
  <r>
    <n v="1150"/>
    <s v="Deepak"/>
    <x v="2"/>
    <x v="1"/>
    <x v="6"/>
    <n v="9"/>
    <n v="8564"/>
    <x v="149"/>
    <x v="149"/>
    <n v="1712.8"/>
  </r>
  <r>
    <n v="1151"/>
    <s v="Ravi"/>
    <x v="1"/>
    <x v="1"/>
    <x v="5"/>
    <n v="3"/>
    <n v="28345"/>
    <x v="150"/>
    <x v="150"/>
    <n v="5669"/>
  </r>
  <r>
    <n v="1152"/>
    <s v="Vikas"/>
    <x v="2"/>
    <x v="2"/>
    <x v="7"/>
    <n v="4"/>
    <n v="49288"/>
    <x v="151"/>
    <x v="151"/>
    <n v="9857.6"/>
  </r>
  <r>
    <n v="1153"/>
    <s v="Pooja"/>
    <x v="2"/>
    <x v="3"/>
    <x v="1"/>
    <n v="9"/>
    <n v="29687"/>
    <x v="152"/>
    <x v="152"/>
    <n v="5937.4"/>
  </r>
  <r>
    <n v="1154"/>
    <s v="Anita"/>
    <x v="1"/>
    <x v="2"/>
    <x v="2"/>
    <n v="6"/>
    <n v="14737"/>
    <x v="153"/>
    <x v="153"/>
    <n v="2947.4"/>
  </r>
  <r>
    <n v="1155"/>
    <s v="Deepak"/>
    <x v="0"/>
    <x v="3"/>
    <x v="2"/>
    <n v="2"/>
    <n v="10323"/>
    <x v="154"/>
    <x v="154"/>
    <n v="2064.6"/>
  </r>
  <r>
    <n v="1156"/>
    <s v="Karan"/>
    <x v="1"/>
    <x v="3"/>
    <x v="2"/>
    <n v="7"/>
    <n v="16229"/>
    <x v="155"/>
    <x v="155"/>
    <n v="3245.8"/>
  </r>
  <r>
    <n v="1157"/>
    <s v="Amit"/>
    <x v="0"/>
    <x v="0"/>
    <x v="3"/>
    <n v="2"/>
    <n v="45481"/>
    <x v="156"/>
    <x v="156"/>
    <n v="9096.2000000000007"/>
  </r>
  <r>
    <n v="1158"/>
    <s v="Ravi"/>
    <x v="0"/>
    <x v="3"/>
    <x v="4"/>
    <n v="2"/>
    <n v="9502"/>
    <x v="157"/>
    <x v="157"/>
    <n v="1900.4"/>
  </r>
  <r>
    <n v="1159"/>
    <s v="Neha"/>
    <x v="0"/>
    <x v="2"/>
    <x v="4"/>
    <n v="1"/>
    <n v="1545"/>
    <x v="158"/>
    <x v="158"/>
    <n v="309"/>
  </r>
  <r>
    <n v="1160"/>
    <s v="Anita"/>
    <x v="1"/>
    <x v="1"/>
    <x v="0"/>
    <n v="3"/>
    <n v="38114"/>
    <x v="159"/>
    <x v="159"/>
    <n v="7622.8"/>
  </r>
  <r>
    <n v="1161"/>
    <s v="Pooja"/>
    <x v="0"/>
    <x v="3"/>
    <x v="1"/>
    <n v="6"/>
    <n v="30430"/>
    <x v="160"/>
    <x v="160"/>
    <n v="6086"/>
  </r>
  <r>
    <n v="1162"/>
    <s v="Anita"/>
    <x v="3"/>
    <x v="0"/>
    <x v="2"/>
    <n v="8"/>
    <n v="10996"/>
    <x v="161"/>
    <x v="161"/>
    <n v="2199.1999999999998"/>
  </r>
  <r>
    <n v="1163"/>
    <s v="Deepak"/>
    <x v="1"/>
    <x v="2"/>
    <x v="4"/>
    <n v="9"/>
    <n v="28788"/>
    <x v="162"/>
    <x v="162"/>
    <n v="5757.6"/>
  </r>
  <r>
    <n v="1164"/>
    <s v="Sneha"/>
    <x v="3"/>
    <x v="3"/>
    <x v="3"/>
    <n v="7"/>
    <n v="30969"/>
    <x v="163"/>
    <x v="163"/>
    <n v="6193.8"/>
  </r>
  <r>
    <n v="1165"/>
    <s v="Amit"/>
    <x v="0"/>
    <x v="2"/>
    <x v="0"/>
    <n v="4"/>
    <n v="49543"/>
    <x v="164"/>
    <x v="164"/>
    <n v="9908.6"/>
  </r>
  <r>
    <n v="1166"/>
    <s v="Amit"/>
    <x v="2"/>
    <x v="0"/>
    <x v="7"/>
    <n v="6"/>
    <n v="14919"/>
    <x v="165"/>
    <x v="165"/>
    <n v="2983.8"/>
  </r>
  <r>
    <n v="1167"/>
    <s v="Neha"/>
    <x v="0"/>
    <x v="0"/>
    <x v="0"/>
    <n v="5"/>
    <n v="4810"/>
    <x v="166"/>
    <x v="166"/>
    <n v="962"/>
  </r>
  <r>
    <n v="1168"/>
    <s v="Sneha"/>
    <x v="3"/>
    <x v="2"/>
    <x v="4"/>
    <n v="8"/>
    <n v="31586"/>
    <x v="167"/>
    <x v="167"/>
    <n v="6317.2"/>
  </r>
  <r>
    <n v="1169"/>
    <s v="Vikas"/>
    <x v="3"/>
    <x v="3"/>
    <x v="5"/>
    <n v="1"/>
    <n v="40974"/>
    <x v="168"/>
    <x v="168"/>
    <n v="8194.7999999999993"/>
  </r>
  <r>
    <n v="1170"/>
    <s v="Priya"/>
    <x v="1"/>
    <x v="1"/>
    <x v="3"/>
    <n v="1"/>
    <n v="42773"/>
    <x v="169"/>
    <x v="169"/>
    <n v="8554.6"/>
  </r>
  <r>
    <n v="1171"/>
    <s v="Ravi"/>
    <x v="2"/>
    <x v="0"/>
    <x v="5"/>
    <n v="6"/>
    <n v="17371"/>
    <x v="170"/>
    <x v="170"/>
    <n v="3474.2"/>
  </r>
  <r>
    <n v="1172"/>
    <s v="Amit"/>
    <x v="1"/>
    <x v="3"/>
    <x v="2"/>
    <n v="2"/>
    <n v="46084"/>
    <x v="171"/>
    <x v="171"/>
    <n v="9216.7999999999993"/>
  </r>
  <r>
    <n v="1173"/>
    <s v="Karan"/>
    <x v="3"/>
    <x v="3"/>
    <x v="5"/>
    <n v="5"/>
    <n v="30629"/>
    <x v="172"/>
    <x v="172"/>
    <n v="6125.8"/>
  </r>
  <r>
    <n v="1174"/>
    <s v="Amit"/>
    <x v="0"/>
    <x v="1"/>
    <x v="2"/>
    <n v="1"/>
    <n v="9436"/>
    <x v="173"/>
    <x v="173"/>
    <n v="1887.2"/>
  </r>
  <r>
    <n v="1175"/>
    <s v="Anita"/>
    <x v="2"/>
    <x v="0"/>
    <x v="2"/>
    <n v="7"/>
    <n v="13984"/>
    <x v="174"/>
    <x v="174"/>
    <n v="2796.8"/>
  </r>
  <r>
    <n v="1176"/>
    <s v="Amit"/>
    <x v="0"/>
    <x v="0"/>
    <x v="4"/>
    <n v="1"/>
    <n v="34039"/>
    <x v="175"/>
    <x v="175"/>
    <n v="6807.8"/>
  </r>
  <r>
    <n v="1177"/>
    <s v="Amit"/>
    <x v="0"/>
    <x v="3"/>
    <x v="5"/>
    <n v="4"/>
    <n v="20895"/>
    <x v="176"/>
    <x v="176"/>
    <n v="4179"/>
  </r>
  <r>
    <n v="1178"/>
    <s v="Priya"/>
    <x v="2"/>
    <x v="3"/>
    <x v="2"/>
    <n v="9"/>
    <n v="19155"/>
    <x v="177"/>
    <x v="177"/>
    <n v="3831"/>
  </r>
  <r>
    <n v="1179"/>
    <s v="Priya"/>
    <x v="1"/>
    <x v="1"/>
    <x v="1"/>
    <n v="1"/>
    <n v="11616"/>
    <x v="178"/>
    <x v="178"/>
    <n v="2323.1999999999998"/>
  </r>
  <r>
    <n v="1180"/>
    <s v="Pooja"/>
    <x v="0"/>
    <x v="1"/>
    <x v="7"/>
    <n v="4"/>
    <n v="38129"/>
    <x v="179"/>
    <x v="179"/>
    <n v="7625.8"/>
  </r>
  <r>
    <n v="1181"/>
    <s v="Vikas"/>
    <x v="3"/>
    <x v="0"/>
    <x v="0"/>
    <n v="6"/>
    <n v="40837"/>
    <x v="180"/>
    <x v="180"/>
    <n v="8167.4"/>
  </r>
  <r>
    <n v="1182"/>
    <s v="Karan"/>
    <x v="0"/>
    <x v="2"/>
    <x v="0"/>
    <n v="6"/>
    <n v="25574"/>
    <x v="181"/>
    <x v="181"/>
    <n v="5114.8"/>
  </r>
  <r>
    <n v="1183"/>
    <s v="Amit"/>
    <x v="2"/>
    <x v="0"/>
    <x v="4"/>
    <n v="8"/>
    <n v="4430"/>
    <x v="182"/>
    <x v="182"/>
    <n v="886"/>
  </r>
  <r>
    <n v="1184"/>
    <s v="Amit"/>
    <x v="2"/>
    <x v="3"/>
    <x v="5"/>
    <n v="1"/>
    <n v="13676"/>
    <x v="183"/>
    <x v="183"/>
    <n v="2735.2"/>
  </r>
  <r>
    <n v="1185"/>
    <s v="Ravi"/>
    <x v="2"/>
    <x v="0"/>
    <x v="5"/>
    <n v="7"/>
    <n v="11816"/>
    <x v="184"/>
    <x v="184"/>
    <n v="2363.1999999999998"/>
  </r>
  <r>
    <n v="1186"/>
    <s v="Priya"/>
    <x v="1"/>
    <x v="2"/>
    <x v="2"/>
    <n v="1"/>
    <n v="33733"/>
    <x v="185"/>
    <x v="185"/>
    <n v="6746.6"/>
  </r>
  <r>
    <n v="1187"/>
    <s v="Karan"/>
    <x v="0"/>
    <x v="1"/>
    <x v="3"/>
    <n v="7"/>
    <n v="21144"/>
    <x v="186"/>
    <x v="186"/>
    <n v="4228.8"/>
  </r>
  <r>
    <n v="1188"/>
    <s v="Neha"/>
    <x v="1"/>
    <x v="2"/>
    <x v="6"/>
    <n v="3"/>
    <n v="3050"/>
    <x v="187"/>
    <x v="187"/>
    <n v="610"/>
  </r>
  <r>
    <n v="1189"/>
    <s v="Pooja"/>
    <x v="1"/>
    <x v="2"/>
    <x v="2"/>
    <n v="8"/>
    <n v="45460"/>
    <x v="188"/>
    <x v="188"/>
    <n v="9092"/>
  </r>
  <r>
    <n v="1190"/>
    <s v="Vikas"/>
    <x v="2"/>
    <x v="2"/>
    <x v="7"/>
    <n v="3"/>
    <n v="34933"/>
    <x v="189"/>
    <x v="189"/>
    <n v="6986.6"/>
  </r>
  <r>
    <n v="1191"/>
    <s v="Sneha"/>
    <x v="2"/>
    <x v="1"/>
    <x v="1"/>
    <n v="1"/>
    <n v="25951"/>
    <x v="190"/>
    <x v="190"/>
    <n v="5190.2"/>
  </r>
  <r>
    <n v="1192"/>
    <s v="Vikas"/>
    <x v="1"/>
    <x v="2"/>
    <x v="0"/>
    <n v="8"/>
    <n v="33413"/>
    <x v="191"/>
    <x v="191"/>
    <n v="6682.6"/>
  </r>
  <r>
    <n v="1193"/>
    <s v="Anita"/>
    <x v="0"/>
    <x v="2"/>
    <x v="2"/>
    <n v="3"/>
    <n v="35801"/>
    <x v="192"/>
    <x v="192"/>
    <n v="7160.2"/>
  </r>
  <r>
    <n v="1194"/>
    <s v="Amit"/>
    <x v="3"/>
    <x v="2"/>
    <x v="6"/>
    <n v="2"/>
    <n v="33913"/>
    <x v="193"/>
    <x v="193"/>
    <n v="6782.6"/>
  </r>
  <r>
    <n v="1195"/>
    <s v="Pooja"/>
    <x v="1"/>
    <x v="3"/>
    <x v="6"/>
    <n v="1"/>
    <n v="48037"/>
    <x v="194"/>
    <x v="194"/>
    <n v="9607.4"/>
  </r>
  <r>
    <n v="1196"/>
    <s v="Anita"/>
    <x v="0"/>
    <x v="2"/>
    <x v="2"/>
    <n v="3"/>
    <n v="41600"/>
    <x v="195"/>
    <x v="195"/>
    <n v="8320"/>
  </r>
  <r>
    <n v="1197"/>
    <s v="Karan"/>
    <x v="2"/>
    <x v="1"/>
    <x v="4"/>
    <n v="2"/>
    <n v="26280"/>
    <x v="196"/>
    <x v="196"/>
    <n v="5256"/>
  </r>
  <r>
    <n v="1198"/>
    <s v="Sneha"/>
    <x v="2"/>
    <x v="2"/>
    <x v="0"/>
    <n v="2"/>
    <n v="25557"/>
    <x v="197"/>
    <x v="197"/>
    <n v="5111.3999999999996"/>
  </r>
  <r>
    <n v="1199"/>
    <s v="Priya"/>
    <x v="0"/>
    <x v="2"/>
    <x v="4"/>
    <n v="6"/>
    <n v="48054"/>
    <x v="198"/>
    <x v="198"/>
    <n v="9610.7999999999993"/>
  </r>
  <r>
    <n v="1200"/>
    <s v="Pooja"/>
    <x v="3"/>
    <x v="1"/>
    <x v="1"/>
    <n v="1"/>
    <n v="36400"/>
    <x v="199"/>
    <x v="199"/>
    <n v="7280"/>
  </r>
  <r>
    <n v="1201"/>
    <s v="Pooja"/>
    <x v="2"/>
    <x v="2"/>
    <x v="6"/>
    <n v="2"/>
    <n v="5494"/>
    <x v="200"/>
    <x v="200"/>
    <n v="1098.8"/>
  </r>
  <r>
    <n v="1202"/>
    <s v="Amit"/>
    <x v="2"/>
    <x v="1"/>
    <x v="6"/>
    <n v="6"/>
    <n v="16152"/>
    <x v="201"/>
    <x v="201"/>
    <n v="3230.4"/>
  </r>
  <r>
    <n v="1203"/>
    <s v="Deepak"/>
    <x v="2"/>
    <x v="2"/>
    <x v="7"/>
    <n v="3"/>
    <n v="24895"/>
    <x v="202"/>
    <x v="202"/>
    <n v="4979"/>
  </r>
  <r>
    <n v="1204"/>
    <s v="Pooja"/>
    <x v="0"/>
    <x v="1"/>
    <x v="1"/>
    <n v="4"/>
    <n v="10155"/>
    <x v="203"/>
    <x v="203"/>
    <n v="2031"/>
  </r>
  <r>
    <n v="1205"/>
    <s v="Ravi"/>
    <x v="1"/>
    <x v="2"/>
    <x v="6"/>
    <n v="1"/>
    <n v="32883"/>
    <x v="204"/>
    <x v="204"/>
    <n v="6576.6"/>
  </r>
  <r>
    <n v="1206"/>
    <s v="Sneha"/>
    <x v="2"/>
    <x v="2"/>
    <x v="1"/>
    <n v="8"/>
    <n v="44194"/>
    <x v="205"/>
    <x v="205"/>
    <n v="8838.7999999999993"/>
  </r>
  <r>
    <n v="1207"/>
    <s v="Sneha"/>
    <x v="1"/>
    <x v="3"/>
    <x v="0"/>
    <n v="7"/>
    <n v="44001"/>
    <x v="206"/>
    <x v="206"/>
    <n v="8800.2000000000007"/>
  </r>
  <r>
    <n v="1208"/>
    <s v="Ravi"/>
    <x v="3"/>
    <x v="3"/>
    <x v="5"/>
    <n v="7"/>
    <n v="2828"/>
    <x v="207"/>
    <x v="207"/>
    <n v="565.6"/>
  </r>
  <r>
    <n v="1209"/>
    <s v="Neha"/>
    <x v="2"/>
    <x v="2"/>
    <x v="6"/>
    <n v="3"/>
    <n v="46028"/>
    <x v="208"/>
    <x v="208"/>
    <n v="9205.6"/>
  </r>
  <r>
    <n v="1210"/>
    <s v="Ravi"/>
    <x v="2"/>
    <x v="2"/>
    <x v="7"/>
    <n v="3"/>
    <n v="42898"/>
    <x v="209"/>
    <x v="209"/>
    <n v="8579.6"/>
  </r>
  <r>
    <n v="1211"/>
    <s v="Ravi"/>
    <x v="3"/>
    <x v="0"/>
    <x v="0"/>
    <n v="2"/>
    <n v="33123"/>
    <x v="210"/>
    <x v="210"/>
    <n v="6624.6"/>
  </r>
  <r>
    <n v="1212"/>
    <s v="Sneha"/>
    <x v="2"/>
    <x v="1"/>
    <x v="2"/>
    <n v="1"/>
    <n v="38573"/>
    <x v="211"/>
    <x v="211"/>
    <n v="7714.6"/>
  </r>
  <r>
    <n v="1213"/>
    <s v="Vikas"/>
    <x v="1"/>
    <x v="0"/>
    <x v="1"/>
    <n v="7"/>
    <n v="1806"/>
    <x v="212"/>
    <x v="212"/>
    <n v="361.2"/>
  </r>
  <r>
    <n v="1214"/>
    <s v="Sneha"/>
    <x v="0"/>
    <x v="3"/>
    <x v="2"/>
    <n v="7"/>
    <n v="41970"/>
    <x v="213"/>
    <x v="213"/>
    <n v="8394"/>
  </r>
  <r>
    <n v="1215"/>
    <s v="Deepak"/>
    <x v="1"/>
    <x v="3"/>
    <x v="4"/>
    <n v="2"/>
    <n v="30757"/>
    <x v="214"/>
    <x v="214"/>
    <n v="6151.4"/>
  </r>
  <r>
    <n v="1216"/>
    <s v="Amit"/>
    <x v="0"/>
    <x v="3"/>
    <x v="0"/>
    <n v="7"/>
    <n v="35636"/>
    <x v="215"/>
    <x v="215"/>
    <n v="7127.2"/>
  </r>
  <r>
    <n v="1217"/>
    <s v="Anita"/>
    <x v="0"/>
    <x v="3"/>
    <x v="2"/>
    <n v="8"/>
    <n v="15561"/>
    <x v="216"/>
    <x v="216"/>
    <n v="3112.2"/>
  </r>
  <r>
    <n v="1218"/>
    <s v="Vikas"/>
    <x v="1"/>
    <x v="2"/>
    <x v="3"/>
    <n v="1"/>
    <n v="49280"/>
    <x v="217"/>
    <x v="217"/>
    <n v="9856"/>
  </r>
  <r>
    <n v="1219"/>
    <s v="Priya"/>
    <x v="1"/>
    <x v="3"/>
    <x v="3"/>
    <n v="9"/>
    <n v="25262"/>
    <x v="218"/>
    <x v="218"/>
    <n v="5052.3999999999996"/>
  </r>
  <r>
    <n v="1220"/>
    <s v="Anita"/>
    <x v="1"/>
    <x v="2"/>
    <x v="6"/>
    <n v="7"/>
    <n v="15899"/>
    <x v="219"/>
    <x v="219"/>
    <n v="3179.8"/>
  </r>
  <r>
    <n v="1221"/>
    <s v="Amit"/>
    <x v="1"/>
    <x v="2"/>
    <x v="1"/>
    <n v="3"/>
    <n v="49988"/>
    <x v="220"/>
    <x v="220"/>
    <n v="9997.6"/>
  </r>
  <r>
    <n v="1222"/>
    <s v="Deepak"/>
    <x v="3"/>
    <x v="3"/>
    <x v="5"/>
    <n v="8"/>
    <n v="16934"/>
    <x v="221"/>
    <x v="221"/>
    <n v="3386.8"/>
  </r>
  <r>
    <n v="1223"/>
    <s v="Deepak"/>
    <x v="2"/>
    <x v="3"/>
    <x v="0"/>
    <n v="7"/>
    <n v="39197"/>
    <x v="222"/>
    <x v="222"/>
    <n v="7839.4"/>
  </r>
  <r>
    <n v="1224"/>
    <s v="Priya"/>
    <x v="0"/>
    <x v="1"/>
    <x v="6"/>
    <n v="8"/>
    <n v="42844"/>
    <x v="223"/>
    <x v="223"/>
    <n v="8568.7999999999993"/>
  </r>
  <r>
    <n v="1225"/>
    <s v="Vikas"/>
    <x v="1"/>
    <x v="0"/>
    <x v="7"/>
    <n v="6"/>
    <n v="37332"/>
    <x v="224"/>
    <x v="224"/>
    <n v="7466.4"/>
  </r>
  <r>
    <n v="1226"/>
    <s v="Neha"/>
    <x v="1"/>
    <x v="3"/>
    <x v="4"/>
    <n v="9"/>
    <n v="35157"/>
    <x v="225"/>
    <x v="225"/>
    <n v="7031.4"/>
  </r>
  <r>
    <n v="1227"/>
    <s v="Ravi"/>
    <x v="1"/>
    <x v="1"/>
    <x v="1"/>
    <n v="5"/>
    <n v="12593"/>
    <x v="226"/>
    <x v="226"/>
    <n v="2518.6"/>
  </r>
  <r>
    <n v="1228"/>
    <s v="Vikas"/>
    <x v="3"/>
    <x v="1"/>
    <x v="0"/>
    <n v="3"/>
    <n v="41042"/>
    <x v="227"/>
    <x v="227"/>
    <n v="8208.4"/>
  </r>
  <r>
    <n v="1229"/>
    <s v="Neha"/>
    <x v="1"/>
    <x v="0"/>
    <x v="3"/>
    <n v="3"/>
    <n v="18320"/>
    <x v="228"/>
    <x v="228"/>
    <n v="3664"/>
  </r>
  <r>
    <n v="1230"/>
    <s v="Deepak"/>
    <x v="1"/>
    <x v="2"/>
    <x v="0"/>
    <n v="1"/>
    <n v="28376"/>
    <x v="229"/>
    <x v="229"/>
    <n v="5675.2"/>
  </r>
  <r>
    <n v="1231"/>
    <s v="Sneha"/>
    <x v="1"/>
    <x v="3"/>
    <x v="5"/>
    <n v="8"/>
    <n v="44513"/>
    <x v="230"/>
    <x v="230"/>
    <n v="8902.6"/>
  </r>
  <r>
    <n v="1232"/>
    <s v="Amit"/>
    <x v="2"/>
    <x v="0"/>
    <x v="3"/>
    <n v="2"/>
    <n v="15199"/>
    <x v="231"/>
    <x v="122"/>
    <n v="3039.8"/>
  </r>
  <r>
    <n v="1233"/>
    <s v="Priya"/>
    <x v="3"/>
    <x v="3"/>
    <x v="5"/>
    <n v="3"/>
    <n v="16876"/>
    <x v="232"/>
    <x v="231"/>
    <n v="3375.2"/>
  </r>
  <r>
    <n v="1234"/>
    <s v="Amit"/>
    <x v="1"/>
    <x v="1"/>
    <x v="7"/>
    <n v="8"/>
    <n v="9245"/>
    <x v="233"/>
    <x v="232"/>
    <n v="1849"/>
  </r>
  <r>
    <n v="1235"/>
    <s v="Karan"/>
    <x v="0"/>
    <x v="1"/>
    <x v="4"/>
    <n v="8"/>
    <n v="8214"/>
    <x v="234"/>
    <x v="233"/>
    <n v="1642.8"/>
  </r>
  <r>
    <n v="1236"/>
    <s v="Karan"/>
    <x v="0"/>
    <x v="2"/>
    <x v="7"/>
    <n v="4"/>
    <n v="1726"/>
    <x v="235"/>
    <x v="234"/>
    <n v="345.2"/>
  </r>
  <r>
    <n v="1237"/>
    <s v="Vikas"/>
    <x v="0"/>
    <x v="1"/>
    <x v="6"/>
    <n v="4"/>
    <n v="47600"/>
    <x v="236"/>
    <x v="235"/>
    <n v="9520"/>
  </r>
  <r>
    <n v="1238"/>
    <s v="Deepak"/>
    <x v="3"/>
    <x v="1"/>
    <x v="6"/>
    <n v="5"/>
    <n v="12362"/>
    <x v="237"/>
    <x v="236"/>
    <n v="2472.4"/>
  </r>
  <r>
    <n v="1239"/>
    <s v="Deepak"/>
    <x v="3"/>
    <x v="0"/>
    <x v="7"/>
    <n v="6"/>
    <n v="19297"/>
    <x v="238"/>
    <x v="237"/>
    <n v="3859.4"/>
  </r>
  <r>
    <n v="1240"/>
    <s v="Ravi"/>
    <x v="0"/>
    <x v="3"/>
    <x v="4"/>
    <n v="5"/>
    <n v="31448"/>
    <x v="239"/>
    <x v="238"/>
    <n v="6289.6"/>
  </r>
  <r>
    <n v="1241"/>
    <s v="Ravi"/>
    <x v="1"/>
    <x v="3"/>
    <x v="7"/>
    <n v="7"/>
    <n v="27172"/>
    <x v="240"/>
    <x v="239"/>
    <n v="5434.4"/>
  </r>
  <r>
    <n v="1242"/>
    <s v="Ravi"/>
    <x v="3"/>
    <x v="0"/>
    <x v="4"/>
    <n v="2"/>
    <n v="43874"/>
    <x v="241"/>
    <x v="240"/>
    <n v="8774.7999999999993"/>
  </r>
  <r>
    <n v="1243"/>
    <s v="Sneha"/>
    <x v="0"/>
    <x v="2"/>
    <x v="4"/>
    <n v="7"/>
    <n v="8657"/>
    <x v="242"/>
    <x v="241"/>
    <n v="1731.4"/>
  </r>
  <r>
    <n v="1244"/>
    <s v="Anita"/>
    <x v="0"/>
    <x v="3"/>
    <x v="2"/>
    <n v="7"/>
    <n v="19850"/>
    <x v="243"/>
    <x v="242"/>
    <n v="3970"/>
  </r>
  <r>
    <n v="1245"/>
    <s v="Pooja"/>
    <x v="1"/>
    <x v="1"/>
    <x v="3"/>
    <n v="1"/>
    <n v="26425"/>
    <x v="244"/>
    <x v="243"/>
    <n v="5285"/>
  </r>
  <r>
    <n v="1246"/>
    <s v="Anita"/>
    <x v="2"/>
    <x v="3"/>
    <x v="1"/>
    <n v="7"/>
    <n v="27685"/>
    <x v="245"/>
    <x v="244"/>
    <n v="5537"/>
  </r>
  <r>
    <n v="1247"/>
    <s v="Amit"/>
    <x v="3"/>
    <x v="1"/>
    <x v="4"/>
    <n v="5"/>
    <n v="48319"/>
    <x v="246"/>
    <x v="245"/>
    <n v="9663.7999999999993"/>
  </r>
  <r>
    <n v="1248"/>
    <s v="Anita"/>
    <x v="1"/>
    <x v="2"/>
    <x v="5"/>
    <n v="3"/>
    <n v="25578"/>
    <x v="247"/>
    <x v="246"/>
    <n v="5115.6000000000004"/>
  </r>
  <r>
    <n v="1249"/>
    <s v="Sneha"/>
    <x v="0"/>
    <x v="0"/>
    <x v="4"/>
    <n v="3"/>
    <n v="29831"/>
    <x v="248"/>
    <x v="247"/>
    <n v="5966.2"/>
  </r>
  <r>
    <n v="1250"/>
    <s v="Amit"/>
    <x v="0"/>
    <x v="3"/>
    <x v="4"/>
    <n v="4"/>
    <n v="8906"/>
    <x v="249"/>
    <x v="248"/>
    <n v="1781.2"/>
  </r>
  <r>
    <n v="1251"/>
    <s v="Anita"/>
    <x v="1"/>
    <x v="0"/>
    <x v="4"/>
    <n v="2"/>
    <n v="8287"/>
    <x v="250"/>
    <x v="249"/>
    <n v="1657.4"/>
  </r>
  <r>
    <n v="1252"/>
    <s v="Sneha"/>
    <x v="3"/>
    <x v="3"/>
    <x v="2"/>
    <n v="2"/>
    <n v="34660"/>
    <x v="251"/>
    <x v="250"/>
    <n v="6932"/>
  </r>
  <r>
    <n v="1253"/>
    <s v="Pooja"/>
    <x v="2"/>
    <x v="1"/>
    <x v="3"/>
    <n v="1"/>
    <n v="11222"/>
    <x v="252"/>
    <x v="251"/>
    <n v="2244.4"/>
  </r>
  <r>
    <n v="1254"/>
    <s v="Anita"/>
    <x v="2"/>
    <x v="0"/>
    <x v="2"/>
    <n v="5"/>
    <n v="38443"/>
    <x v="253"/>
    <x v="252"/>
    <n v="7688.6"/>
  </r>
  <r>
    <n v="1255"/>
    <s v="Sneha"/>
    <x v="0"/>
    <x v="3"/>
    <x v="6"/>
    <n v="4"/>
    <n v="35701"/>
    <x v="254"/>
    <x v="253"/>
    <n v="7140.2"/>
  </r>
  <r>
    <n v="1256"/>
    <s v="Ravi"/>
    <x v="3"/>
    <x v="1"/>
    <x v="2"/>
    <n v="2"/>
    <n v="18764"/>
    <x v="255"/>
    <x v="254"/>
    <n v="3752.8"/>
  </r>
  <r>
    <n v="1257"/>
    <s v="Deepak"/>
    <x v="2"/>
    <x v="0"/>
    <x v="5"/>
    <n v="3"/>
    <n v="45641"/>
    <x v="256"/>
    <x v="255"/>
    <n v="9128.2000000000007"/>
  </r>
  <r>
    <n v="1258"/>
    <s v="Ravi"/>
    <x v="3"/>
    <x v="0"/>
    <x v="5"/>
    <n v="7"/>
    <n v="18674"/>
    <x v="257"/>
    <x v="256"/>
    <n v="3734.8"/>
  </r>
  <r>
    <n v="1259"/>
    <s v="Deepak"/>
    <x v="3"/>
    <x v="3"/>
    <x v="2"/>
    <n v="7"/>
    <n v="19024"/>
    <x v="258"/>
    <x v="257"/>
    <n v="3804.8"/>
  </r>
  <r>
    <n v="1260"/>
    <s v="Priya"/>
    <x v="0"/>
    <x v="3"/>
    <x v="3"/>
    <n v="4"/>
    <n v="47007"/>
    <x v="259"/>
    <x v="258"/>
    <n v="9401.4"/>
  </r>
  <r>
    <n v="1261"/>
    <s v="Priya"/>
    <x v="2"/>
    <x v="3"/>
    <x v="7"/>
    <n v="5"/>
    <n v="24874"/>
    <x v="260"/>
    <x v="259"/>
    <n v="4974.8"/>
  </r>
  <r>
    <n v="1262"/>
    <s v="Priya"/>
    <x v="1"/>
    <x v="1"/>
    <x v="1"/>
    <n v="5"/>
    <n v="44642"/>
    <x v="261"/>
    <x v="260"/>
    <n v="8928.4"/>
  </r>
  <r>
    <n v="1263"/>
    <s v="Pooja"/>
    <x v="0"/>
    <x v="3"/>
    <x v="3"/>
    <n v="6"/>
    <n v="33284"/>
    <x v="262"/>
    <x v="261"/>
    <n v="6656.8"/>
  </r>
  <r>
    <n v="1264"/>
    <s v="Ravi"/>
    <x v="2"/>
    <x v="0"/>
    <x v="2"/>
    <n v="9"/>
    <n v="18602"/>
    <x v="263"/>
    <x v="262"/>
    <n v="3720.4"/>
  </r>
  <r>
    <n v="1265"/>
    <s v="Deepak"/>
    <x v="2"/>
    <x v="0"/>
    <x v="4"/>
    <n v="2"/>
    <n v="38784"/>
    <x v="264"/>
    <x v="263"/>
    <n v="7756.8"/>
  </r>
  <r>
    <n v="1266"/>
    <s v="Sneha"/>
    <x v="2"/>
    <x v="3"/>
    <x v="0"/>
    <n v="5"/>
    <n v="24265"/>
    <x v="265"/>
    <x v="264"/>
    <n v="4853"/>
  </r>
  <r>
    <n v="1267"/>
    <s v="Amit"/>
    <x v="2"/>
    <x v="3"/>
    <x v="1"/>
    <n v="3"/>
    <n v="26931"/>
    <x v="266"/>
    <x v="265"/>
    <n v="5386.2"/>
  </r>
  <r>
    <n v="1268"/>
    <s v="Sneha"/>
    <x v="2"/>
    <x v="2"/>
    <x v="1"/>
    <n v="4"/>
    <n v="29841"/>
    <x v="267"/>
    <x v="266"/>
    <n v="5968.2"/>
  </r>
  <r>
    <n v="1269"/>
    <s v="Amit"/>
    <x v="3"/>
    <x v="0"/>
    <x v="5"/>
    <n v="6"/>
    <n v="30192"/>
    <x v="268"/>
    <x v="267"/>
    <n v="6038.4"/>
  </r>
  <r>
    <n v="1270"/>
    <s v="Karan"/>
    <x v="0"/>
    <x v="1"/>
    <x v="1"/>
    <n v="8"/>
    <n v="47542"/>
    <x v="269"/>
    <x v="268"/>
    <n v="9508.4"/>
  </r>
  <r>
    <n v="1271"/>
    <s v="Sneha"/>
    <x v="3"/>
    <x v="2"/>
    <x v="2"/>
    <n v="1"/>
    <n v="43520"/>
    <x v="270"/>
    <x v="269"/>
    <n v="8704"/>
  </r>
  <r>
    <n v="1272"/>
    <s v="Anita"/>
    <x v="1"/>
    <x v="3"/>
    <x v="4"/>
    <n v="8"/>
    <n v="16585"/>
    <x v="271"/>
    <x v="270"/>
    <n v="3317"/>
  </r>
  <r>
    <n v="1273"/>
    <s v="Anita"/>
    <x v="2"/>
    <x v="3"/>
    <x v="4"/>
    <n v="7"/>
    <n v="26559"/>
    <x v="272"/>
    <x v="271"/>
    <n v="5311.8"/>
  </r>
  <r>
    <n v="1274"/>
    <s v="Vikas"/>
    <x v="0"/>
    <x v="0"/>
    <x v="6"/>
    <n v="1"/>
    <n v="41059"/>
    <x v="273"/>
    <x v="272"/>
    <n v="8211.7999999999993"/>
  </r>
  <r>
    <n v="1275"/>
    <s v="Ravi"/>
    <x v="2"/>
    <x v="3"/>
    <x v="4"/>
    <n v="2"/>
    <n v="34742"/>
    <x v="274"/>
    <x v="273"/>
    <n v="6948.4"/>
  </r>
  <r>
    <n v="1276"/>
    <s v="Amit"/>
    <x v="0"/>
    <x v="1"/>
    <x v="3"/>
    <n v="3"/>
    <n v="5133"/>
    <x v="275"/>
    <x v="274"/>
    <n v="1026.5999999999999"/>
  </r>
  <r>
    <n v="1277"/>
    <s v="Amit"/>
    <x v="3"/>
    <x v="0"/>
    <x v="4"/>
    <n v="1"/>
    <n v="15663"/>
    <x v="276"/>
    <x v="275"/>
    <n v="3132.6"/>
  </r>
  <r>
    <n v="1278"/>
    <s v="Ravi"/>
    <x v="0"/>
    <x v="3"/>
    <x v="5"/>
    <n v="9"/>
    <n v="22754"/>
    <x v="277"/>
    <x v="276"/>
    <n v="4550.8"/>
  </r>
  <r>
    <n v="1279"/>
    <s v="Pooja"/>
    <x v="1"/>
    <x v="0"/>
    <x v="4"/>
    <n v="8"/>
    <n v="4972"/>
    <x v="278"/>
    <x v="277"/>
    <n v="994.4"/>
  </r>
  <r>
    <n v="1280"/>
    <s v="Vikas"/>
    <x v="1"/>
    <x v="3"/>
    <x v="6"/>
    <n v="2"/>
    <n v="6295"/>
    <x v="279"/>
    <x v="278"/>
    <n v="1259"/>
  </r>
  <r>
    <n v="1281"/>
    <s v="Pooja"/>
    <x v="0"/>
    <x v="3"/>
    <x v="0"/>
    <n v="9"/>
    <n v="47681"/>
    <x v="280"/>
    <x v="279"/>
    <n v="9536.2000000000007"/>
  </r>
  <r>
    <n v="1282"/>
    <s v="Pooja"/>
    <x v="0"/>
    <x v="3"/>
    <x v="2"/>
    <n v="7"/>
    <n v="42873"/>
    <x v="281"/>
    <x v="280"/>
    <n v="8574.6"/>
  </r>
  <r>
    <n v="1283"/>
    <s v="Pooja"/>
    <x v="0"/>
    <x v="1"/>
    <x v="5"/>
    <n v="9"/>
    <n v="30125"/>
    <x v="282"/>
    <x v="281"/>
    <n v="6025"/>
  </r>
  <r>
    <n v="1284"/>
    <s v="Ravi"/>
    <x v="0"/>
    <x v="1"/>
    <x v="3"/>
    <n v="6"/>
    <n v="41996"/>
    <x v="283"/>
    <x v="282"/>
    <n v="8399.2000000000007"/>
  </r>
  <r>
    <n v="1285"/>
    <s v="Pooja"/>
    <x v="1"/>
    <x v="0"/>
    <x v="0"/>
    <n v="6"/>
    <n v="10903"/>
    <x v="284"/>
    <x v="283"/>
    <n v="2180.6"/>
  </r>
  <r>
    <n v="1286"/>
    <s v="Anita"/>
    <x v="2"/>
    <x v="3"/>
    <x v="5"/>
    <n v="4"/>
    <n v="4020"/>
    <x v="285"/>
    <x v="284"/>
    <n v="804"/>
  </r>
  <r>
    <n v="1287"/>
    <s v="Priya"/>
    <x v="0"/>
    <x v="3"/>
    <x v="7"/>
    <n v="2"/>
    <n v="42755"/>
    <x v="286"/>
    <x v="285"/>
    <n v="8551"/>
  </r>
  <r>
    <n v="1288"/>
    <s v="Karan"/>
    <x v="0"/>
    <x v="1"/>
    <x v="1"/>
    <n v="7"/>
    <n v="21420"/>
    <x v="287"/>
    <x v="286"/>
    <n v="4284"/>
  </r>
  <r>
    <n v="1289"/>
    <s v="Amit"/>
    <x v="1"/>
    <x v="3"/>
    <x v="7"/>
    <n v="5"/>
    <n v="22452"/>
    <x v="288"/>
    <x v="287"/>
    <n v="4490.3999999999996"/>
  </r>
  <r>
    <n v="1290"/>
    <s v="Amit"/>
    <x v="1"/>
    <x v="1"/>
    <x v="4"/>
    <n v="6"/>
    <n v="46648"/>
    <x v="289"/>
    <x v="288"/>
    <n v="9329.6"/>
  </r>
  <r>
    <n v="1291"/>
    <s v="Karan"/>
    <x v="3"/>
    <x v="3"/>
    <x v="0"/>
    <n v="2"/>
    <n v="39001"/>
    <x v="290"/>
    <x v="289"/>
    <n v="7800.2"/>
  </r>
  <r>
    <n v="1292"/>
    <s v="Ravi"/>
    <x v="0"/>
    <x v="0"/>
    <x v="4"/>
    <n v="5"/>
    <n v="10516"/>
    <x v="291"/>
    <x v="290"/>
    <n v="2103.1999999999998"/>
  </r>
  <r>
    <n v="1293"/>
    <s v="Sneha"/>
    <x v="3"/>
    <x v="3"/>
    <x v="1"/>
    <n v="4"/>
    <n v="48327"/>
    <x v="292"/>
    <x v="291"/>
    <n v="9665.4"/>
  </r>
  <r>
    <n v="1294"/>
    <s v="Ravi"/>
    <x v="1"/>
    <x v="3"/>
    <x v="5"/>
    <n v="9"/>
    <n v="3396"/>
    <x v="293"/>
    <x v="292"/>
    <n v="679.2"/>
  </r>
  <r>
    <n v="1295"/>
    <s v="Amit"/>
    <x v="1"/>
    <x v="2"/>
    <x v="1"/>
    <n v="6"/>
    <n v="19546"/>
    <x v="294"/>
    <x v="293"/>
    <n v="3909.2"/>
  </r>
  <r>
    <n v="1296"/>
    <s v="Amit"/>
    <x v="2"/>
    <x v="1"/>
    <x v="6"/>
    <n v="2"/>
    <n v="20129"/>
    <x v="295"/>
    <x v="294"/>
    <n v="4025.8"/>
  </r>
  <r>
    <n v="1297"/>
    <s v="Karan"/>
    <x v="0"/>
    <x v="3"/>
    <x v="1"/>
    <n v="1"/>
    <n v="2591"/>
    <x v="296"/>
    <x v="295"/>
    <n v="518.20000000000005"/>
  </r>
  <r>
    <n v="1298"/>
    <s v="Pooja"/>
    <x v="3"/>
    <x v="3"/>
    <x v="6"/>
    <n v="5"/>
    <n v="12303"/>
    <x v="297"/>
    <x v="296"/>
    <n v="2460.6"/>
  </r>
  <r>
    <n v="1299"/>
    <s v="Ravi"/>
    <x v="1"/>
    <x v="2"/>
    <x v="1"/>
    <n v="9"/>
    <n v="31561"/>
    <x v="298"/>
    <x v="297"/>
    <n v="6312.2"/>
  </r>
  <r>
    <n v="1300"/>
    <s v="Deepak"/>
    <x v="1"/>
    <x v="2"/>
    <x v="2"/>
    <n v="6"/>
    <n v="7183"/>
    <x v="299"/>
    <x v="2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Vikas"/>
    <x v="0"/>
    <x v="0"/>
    <x v="0"/>
    <n v="1"/>
    <n v="13875"/>
    <x v="0"/>
    <n v="13875"/>
    <n v="2775"/>
    <x v="0"/>
  </r>
  <r>
    <n v="1002"/>
    <s v="Sneha"/>
    <x v="1"/>
    <x v="1"/>
    <x v="1"/>
    <n v="6"/>
    <n v="2622"/>
    <x v="1"/>
    <n v="15732"/>
    <n v="524.4"/>
    <x v="1"/>
  </r>
  <r>
    <n v="1003"/>
    <s v="Anita"/>
    <x v="0"/>
    <x v="2"/>
    <x v="2"/>
    <n v="5"/>
    <n v="49756"/>
    <x v="2"/>
    <n v="248780"/>
    <n v="9951.2000000000007"/>
    <x v="2"/>
  </r>
  <r>
    <n v="1004"/>
    <s v="Karan"/>
    <x v="0"/>
    <x v="3"/>
    <x v="3"/>
    <n v="4"/>
    <n v="41809"/>
    <x v="3"/>
    <n v="167236"/>
    <n v="8361.7999999999993"/>
    <x v="3"/>
  </r>
  <r>
    <n v="1005"/>
    <s v="Vikas"/>
    <x v="2"/>
    <x v="2"/>
    <x v="2"/>
    <n v="3"/>
    <n v="17725"/>
    <x v="4"/>
    <n v="53175"/>
    <n v="3545"/>
    <x v="0"/>
  </r>
  <r>
    <n v="1006"/>
    <s v="Neha"/>
    <x v="0"/>
    <x v="3"/>
    <x v="0"/>
    <n v="1"/>
    <n v="41760"/>
    <x v="5"/>
    <n v="41760"/>
    <n v="8352"/>
    <x v="1"/>
  </r>
  <r>
    <n v="1007"/>
    <s v="Ravi"/>
    <x v="3"/>
    <x v="0"/>
    <x v="0"/>
    <n v="6"/>
    <n v="16646"/>
    <x v="6"/>
    <n v="99876"/>
    <n v="3329.2"/>
    <x v="2"/>
  </r>
  <r>
    <n v="1008"/>
    <s v="Vikas"/>
    <x v="3"/>
    <x v="3"/>
    <x v="0"/>
    <n v="2"/>
    <n v="18029"/>
    <x v="7"/>
    <n v="36058"/>
    <n v="3605.8"/>
    <x v="3"/>
  </r>
  <r>
    <n v="1009"/>
    <s v="Anita"/>
    <x v="1"/>
    <x v="0"/>
    <x v="4"/>
    <n v="8"/>
    <n v="30402"/>
    <x v="8"/>
    <n v="243216"/>
    <n v="6080.4"/>
    <x v="0"/>
  </r>
  <r>
    <n v="1010"/>
    <s v="Karan"/>
    <x v="0"/>
    <x v="3"/>
    <x v="4"/>
    <n v="5"/>
    <n v="5263"/>
    <x v="9"/>
    <n v="26315"/>
    <n v="1052.5999999999999"/>
    <x v="1"/>
  </r>
  <r>
    <n v="1011"/>
    <s v="Sneha"/>
    <x v="1"/>
    <x v="0"/>
    <x v="5"/>
    <n v="7"/>
    <n v="31987"/>
    <x v="10"/>
    <n v="223909"/>
    <n v="6397.4"/>
    <x v="2"/>
  </r>
  <r>
    <n v="1012"/>
    <s v="Anita"/>
    <x v="3"/>
    <x v="3"/>
    <x v="5"/>
    <n v="2"/>
    <n v="47828"/>
    <x v="11"/>
    <n v="95656"/>
    <n v="9565.6"/>
    <x v="3"/>
  </r>
  <r>
    <n v="1013"/>
    <s v="Anita"/>
    <x v="0"/>
    <x v="1"/>
    <x v="0"/>
    <n v="8"/>
    <n v="48924"/>
    <x v="12"/>
    <n v="391392"/>
    <n v="9784.7999999999993"/>
    <x v="0"/>
  </r>
  <r>
    <n v="1014"/>
    <s v="Ravi"/>
    <x v="0"/>
    <x v="3"/>
    <x v="1"/>
    <n v="2"/>
    <n v="9646"/>
    <x v="13"/>
    <n v="19292"/>
    <n v="1929.2"/>
    <x v="1"/>
  </r>
  <r>
    <n v="1015"/>
    <s v="Pooja"/>
    <x v="1"/>
    <x v="3"/>
    <x v="6"/>
    <n v="4"/>
    <n v="28529"/>
    <x v="14"/>
    <n v="114116"/>
    <n v="5705.8"/>
    <x v="2"/>
  </r>
  <r>
    <n v="1016"/>
    <s v="Karan"/>
    <x v="3"/>
    <x v="1"/>
    <x v="4"/>
    <n v="1"/>
    <n v="12664"/>
    <x v="15"/>
    <n v="12664"/>
    <n v="2532.8000000000002"/>
    <x v="3"/>
  </r>
  <r>
    <n v="1017"/>
    <s v="Priya"/>
    <x v="0"/>
    <x v="2"/>
    <x v="1"/>
    <n v="5"/>
    <n v="36737"/>
    <x v="16"/>
    <n v="183685"/>
    <n v="7347.4"/>
    <x v="0"/>
  </r>
  <r>
    <n v="1018"/>
    <s v="Anita"/>
    <x v="1"/>
    <x v="2"/>
    <x v="7"/>
    <n v="9"/>
    <n v="36796"/>
    <x v="17"/>
    <n v="331164"/>
    <n v="7359.2"/>
    <x v="1"/>
  </r>
  <r>
    <n v="1019"/>
    <s v="Pooja"/>
    <x v="3"/>
    <x v="3"/>
    <x v="4"/>
    <n v="1"/>
    <n v="25027"/>
    <x v="18"/>
    <n v="25027"/>
    <n v="5005.3999999999996"/>
    <x v="2"/>
  </r>
  <r>
    <n v="1020"/>
    <s v="Priya"/>
    <x v="1"/>
    <x v="1"/>
    <x v="4"/>
    <n v="9"/>
    <n v="30373"/>
    <x v="19"/>
    <n v="273357"/>
    <n v="6074.6"/>
    <x v="3"/>
  </r>
  <r>
    <n v="1021"/>
    <s v="Karan"/>
    <x v="2"/>
    <x v="3"/>
    <x v="5"/>
    <n v="8"/>
    <n v="37397"/>
    <x v="20"/>
    <n v="299176"/>
    <n v="7479.4"/>
    <x v="0"/>
  </r>
  <r>
    <n v="1022"/>
    <s v="Amit"/>
    <x v="0"/>
    <x v="0"/>
    <x v="6"/>
    <n v="6"/>
    <n v="21609"/>
    <x v="21"/>
    <n v="129654"/>
    <n v="4321.8"/>
    <x v="1"/>
  </r>
  <r>
    <n v="1023"/>
    <s v="Neha"/>
    <x v="2"/>
    <x v="0"/>
    <x v="6"/>
    <n v="7"/>
    <n v="36835"/>
    <x v="22"/>
    <n v="257845"/>
    <n v="7367"/>
    <x v="2"/>
  </r>
  <r>
    <n v="1024"/>
    <s v="Pooja"/>
    <x v="3"/>
    <x v="3"/>
    <x v="3"/>
    <n v="3"/>
    <n v="39709"/>
    <x v="23"/>
    <n v="119127"/>
    <n v="7941.8"/>
    <x v="3"/>
  </r>
  <r>
    <n v="1025"/>
    <s v="Deepak"/>
    <x v="2"/>
    <x v="2"/>
    <x v="2"/>
    <n v="1"/>
    <n v="20250"/>
    <x v="24"/>
    <n v="20250"/>
    <n v="4050"/>
    <x v="0"/>
  </r>
  <r>
    <n v="1026"/>
    <s v="Amit"/>
    <x v="2"/>
    <x v="2"/>
    <x v="2"/>
    <n v="5"/>
    <n v="22172"/>
    <x v="25"/>
    <n v="110860"/>
    <n v="4434.3999999999996"/>
    <x v="1"/>
  </r>
  <r>
    <n v="1027"/>
    <s v="Neha"/>
    <x v="3"/>
    <x v="3"/>
    <x v="2"/>
    <n v="2"/>
    <n v="12555"/>
    <x v="26"/>
    <n v="25110"/>
    <n v="2511"/>
    <x v="2"/>
  </r>
  <r>
    <n v="1028"/>
    <s v="Ravi"/>
    <x v="1"/>
    <x v="3"/>
    <x v="2"/>
    <n v="5"/>
    <n v="22874"/>
    <x v="27"/>
    <n v="114370"/>
    <n v="4574.8"/>
    <x v="3"/>
  </r>
  <r>
    <n v="1029"/>
    <s v="Vikas"/>
    <x v="2"/>
    <x v="0"/>
    <x v="7"/>
    <n v="8"/>
    <n v="14081"/>
    <x v="28"/>
    <n v="112648"/>
    <n v="2816.2"/>
    <x v="0"/>
  </r>
  <r>
    <n v="1030"/>
    <s v="Sneha"/>
    <x v="1"/>
    <x v="2"/>
    <x v="7"/>
    <n v="9"/>
    <n v="25063"/>
    <x v="29"/>
    <n v="225567"/>
    <n v="5012.6000000000004"/>
    <x v="1"/>
  </r>
  <r>
    <n v="1031"/>
    <s v="Deepak"/>
    <x v="2"/>
    <x v="3"/>
    <x v="4"/>
    <n v="2"/>
    <n v="7819"/>
    <x v="30"/>
    <n v="15638"/>
    <n v="1563.8"/>
    <x v="2"/>
  </r>
  <r>
    <n v="1032"/>
    <s v="Ravi"/>
    <x v="1"/>
    <x v="0"/>
    <x v="0"/>
    <n v="3"/>
    <n v="26712"/>
    <x v="31"/>
    <n v="80136"/>
    <n v="5342.4"/>
    <x v="3"/>
  </r>
  <r>
    <n v="1033"/>
    <s v="Karan"/>
    <x v="3"/>
    <x v="2"/>
    <x v="5"/>
    <n v="3"/>
    <n v="25762"/>
    <x v="32"/>
    <n v="77286"/>
    <n v="5152.3999999999996"/>
    <x v="0"/>
  </r>
  <r>
    <n v="1034"/>
    <s v="Ravi"/>
    <x v="2"/>
    <x v="1"/>
    <x v="5"/>
    <n v="1"/>
    <n v="12046"/>
    <x v="33"/>
    <n v="12046"/>
    <n v="2409.1999999999998"/>
    <x v="1"/>
  </r>
  <r>
    <n v="1035"/>
    <s v="Vikas"/>
    <x v="3"/>
    <x v="0"/>
    <x v="2"/>
    <n v="8"/>
    <n v="32463"/>
    <x v="34"/>
    <n v="259704"/>
    <n v="6492.6"/>
    <x v="2"/>
  </r>
  <r>
    <n v="1036"/>
    <s v="Karan"/>
    <x v="2"/>
    <x v="2"/>
    <x v="4"/>
    <n v="6"/>
    <n v="29769"/>
    <x v="35"/>
    <n v="178614"/>
    <n v="5953.8"/>
    <x v="3"/>
  </r>
  <r>
    <n v="1037"/>
    <s v="Deepak"/>
    <x v="3"/>
    <x v="2"/>
    <x v="3"/>
    <n v="8"/>
    <n v="24150"/>
    <x v="36"/>
    <n v="193200"/>
    <n v="4830"/>
    <x v="0"/>
  </r>
  <r>
    <n v="1038"/>
    <s v="Vikas"/>
    <x v="3"/>
    <x v="0"/>
    <x v="1"/>
    <n v="9"/>
    <n v="3711"/>
    <x v="37"/>
    <n v="33399"/>
    <n v="742.2"/>
    <x v="1"/>
  </r>
  <r>
    <n v="1039"/>
    <s v="Priya"/>
    <x v="2"/>
    <x v="1"/>
    <x v="0"/>
    <n v="5"/>
    <n v="5853"/>
    <x v="38"/>
    <n v="29265"/>
    <n v="1170.5999999999999"/>
    <x v="2"/>
  </r>
  <r>
    <n v="1040"/>
    <s v="Sneha"/>
    <x v="2"/>
    <x v="0"/>
    <x v="4"/>
    <n v="3"/>
    <n v="30077"/>
    <x v="39"/>
    <n v="90231"/>
    <n v="6015.4"/>
    <x v="3"/>
  </r>
  <r>
    <n v="1041"/>
    <s v="Deepak"/>
    <x v="2"/>
    <x v="2"/>
    <x v="0"/>
    <n v="5"/>
    <n v="24863"/>
    <x v="40"/>
    <n v="124315"/>
    <n v="4972.6000000000004"/>
    <x v="0"/>
  </r>
  <r>
    <n v="1042"/>
    <s v="Priya"/>
    <x v="0"/>
    <x v="3"/>
    <x v="0"/>
    <n v="5"/>
    <n v="22792"/>
    <x v="41"/>
    <n v="113960"/>
    <n v="4558.3999999999996"/>
    <x v="1"/>
  </r>
  <r>
    <n v="1043"/>
    <s v="Neha"/>
    <x v="1"/>
    <x v="3"/>
    <x v="0"/>
    <n v="5"/>
    <n v="41483"/>
    <x v="42"/>
    <n v="207415"/>
    <n v="8296.6"/>
    <x v="2"/>
  </r>
  <r>
    <n v="1044"/>
    <s v="Deepak"/>
    <x v="0"/>
    <x v="0"/>
    <x v="4"/>
    <n v="3"/>
    <n v="9942"/>
    <x v="43"/>
    <n v="29826"/>
    <n v="1988.4"/>
    <x v="3"/>
  </r>
  <r>
    <n v="1045"/>
    <s v="Neha"/>
    <x v="0"/>
    <x v="2"/>
    <x v="2"/>
    <n v="4"/>
    <n v="49275"/>
    <x v="44"/>
    <n v="197100"/>
    <n v="9855"/>
    <x v="0"/>
  </r>
  <r>
    <n v="1046"/>
    <s v="Karan"/>
    <x v="3"/>
    <x v="3"/>
    <x v="5"/>
    <n v="9"/>
    <n v="49594"/>
    <x v="45"/>
    <n v="446346"/>
    <n v="9918.7999999999993"/>
    <x v="1"/>
  </r>
  <r>
    <n v="1047"/>
    <s v="Priya"/>
    <x v="2"/>
    <x v="2"/>
    <x v="5"/>
    <n v="9"/>
    <n v="2762"/>
    <x v="46"/>
    <n v="24858"/>
    <n v="552.4"/>
    <x v="2"/>
  </r>
  <r>
    <n v="1048"/>
    <s v="Sneha"/>
    <x v="1"/>
    <x v="0"/>
    <x v="2"/>
    <n v="2"/>
    <n v="32987"/>
    <x v="47"/>
    <n v="65974"/>
    <n v="6597.4"/>
    <x v="3"/>
  </r>
  <r>
    <n v="1049"/>
    <s v="Vikas"/>
    <x v="3"/>
    <x v="3"/>
    <x v="0"/>
    <n v="8"/>
    <n v="16850"/>
    <x v="48"/>
    <n v="134800"/>
    <n v="3370"/>
    <x v="0"/>
  </r>
  <r>
    <n v="1050"/>
    <s v="Anita"/>
    <x v="0"/>
    <x v="2"/>
    <x v="1"/>
    <n v="8"/>
    <n v="13112"/>
    <x v="49"/>
    <n v="104896"/>
    <n v="2622.4"/>
    <x v="1"/>
  </r>
  <r>
    <n v="1051"/>
    <s v="Ravi"/>
    <x v="2"/>
    <x v="3"/>
    <x v="6"/>
    <n v="7"/>
    <n v="25058"/>
    <x v="50"/>
    <n v="175406"/>
    <n v="5011.6000000000004"/>
    <x v="2"/>
  </r>
  <r>
    <n v="1052"/>
    <s v="Amit"/>
    <x v="3"/>
    <x v="0"/>
    <x v="4"/>
    <n v="8"/>
    <n v="46420"/>
    <x v="51"/>
    <n v="371360"/>
    <n v="9284"/>
    <x v="3"/>
  </r>
  <r>
    <n v="1053"/>
    <s v="Sneha"/>
    <x v="2"/>
    <x v="2"/>
    <x v="6"/>
    <n v="3"/>
    <n v="39890"/>
    <x v="52"/>
    <n v="119670"/>
    <n v="7978"/>
    <x v="0"/>
  </r>
  <r>
    <n v="1054"/>
    <s v="Priya"/>
    <x v="3"/>
    <x v="3"/>
    <x v="3"/>
    <n v="6"/>
    <n v="1481"/>
    <x v="53"/>
    <n v="8886"/>
    <n v="296.2"/>
    <x v="1"/>
  </r>
  <r>
    <n v="1055"/>
    <s v="Anita"/>
    <x v="2"/>
    <x v="0"/>
    <x v="2"/>
    <n v="1"/>
    <n v="48304"/>
    <x v="54"/>
    <n v="48304"/>
    <n v="9660.7999999999993"/>
    <x v="2"/>
  </r>
  <r>
    <n v="1056"/>
    <s v="Sneha"/>
    <x v="0"/>
    <x v="3"/>
    <x v="1"/>
    <n v="7"/>
    <n v="33921"/>
    <x v="55"/>
    <n v="237447"/>
    <n v="6784.2"/>
    <x v="3"/>
  </r>
  <r>
    <n v="1057"/>
    <s v="Priya"/>
    <x v="1"/>
    <x v="3"/>
    <x v="4"/>
    <n v="1"/>
    <n v="41385"/>
    <x v="56"/>
    <n v="41385"/>
    <n v="8277"/>
    <x v="0"/>
  </r>
  <r>
    <n v="1058"/>
    <s v="Pooja"/>
    <x v="0"/>
    <x v="1"/>
    <x v="2"/>
    <n v="9"/>
    <n v="2524"/>
    <x v="57"/>
    <n v="22716"/>
    <n v="504.8"/>
    <x v="1"/>
  </r>
  <r>
    <n v="1059"/>
    <s v="Pooja"/>
    <x v="1"/>
    <x v="1"/>
    <x v="0"/>
    <n v="1"/>
    <n v="35888"/>
    <x v="58"/>
    <n v="35888"/>
    <n v="7177.6"/>
    <x v="2"/>
  </r>
  <r>
    <n v="1060"/>
    <s v="Neha"/>
    <x v="2"/>
    <x v="0"/>
    <x v="5"/>
    <n v="1"/>
    <n v="16048"/>
    <x v="59"/>
    <n v="16048"/>
    <n v="3209.6"/>
    <x v="3"/>
  </r>
  <r>
    <n v="1061"/>
    <s v="Sneha"/>
    <x v="3"/>
    <x v="1"/>
    <x v="6"/>
    <n v="7"/>
    <n v="36111"/>
    <x v="60"/>
    <n v="252777"/>
    <n v="7222.2"/>
    <x v="0"/>
  </r>
  <r>
    <n v="1062"/>
    <s v="Pooja"/>
    <x v="0"/>
    <x v="0"/>
    <x v="7"/>
    <n v="2"/>
    <n v="38904"/>
    <x v="61"/>
    <n v="77808"/>
    <n v="7780.8"/>
    <x v="1"/>
  </r>
  <r>
    <n v="1063"/>
    <s v="Priya"/>
    <x v="1"/>
    <x v="1"/>
    <x v="7"/>
    <n v="5"/>
    <n v="35008"/>
    <x v="62"/>
    <n v="175040"/>
    <n v="7001.6"/>
    <x v="2"/>
  </r>
  <r>
    <n v="1064"/>
    <s v="Neha"/>
    <x v="0"/>
    <x v="3"/>
    <x v="1"/>
    <n v="8"/>
    <n v="1060"/>
    <x v="63"/>
    <n v="8480"/>
    <n v="212"/>
    <x v="3"/>
  </r>
  <r>
    <n v="1065"/>
    <s v="Priya"/>
    <x v="1"/>
    <x v="0"/>
    <x v="0"/>
    <n v="8"/>
    <n v="10130"/>
    <x v="64"/>
    <n v="81040"/>
    <n v="2026"/>
    <x v="0"/>
  </r>
  <r>
    <n v="1066"/>
    <s v="Neha"/>
    <x v="0"/>
    <x v="0"/>
    <x v="3"/>
    <n v="3"/>
    <n v="19023"/>
    <x v="65"/>
    <n v="57069"/>
    <n v="3804.6"/>
    <x v="1"/>
  </r>
  <r>
    <n v="1067"/>
    <s v="Sneha"/>
    <x v="1"/>
    <x v="3"/>
    <x v="6"/>
    <n v="7"/>
    <n v="46080"/>
    <x v="66"/>
    <n v="322560"/>
    <n v="9216"/>
    <x v="2"/>
  </r>
  <r>
    <n v="1068"/>
    <s v="Anita"/>
    <x v="1"/>
    <x v="0"/>
    <x v="0"/>
    <n v="3"/>
    <n v="14350"/>
    <x v="67"/>
    <n v="43050"/>
    <n v="2870"/>
    <x v="3"/>
  </r>
  <r>
    <n v="1069"/>
    <s v="Vikas"/>
    <x v="2"/>
    <x v="0"/>
    <x v="6"/>
    <n v="6"/>
    <n v="25354"/>
    <x v="68"/>
    <n v="152124"/>
    <n v="5070.8"/>
    <x v="0"/>
  </r>
  <r>
    <n v="1070"/>
    <s v="Deepak"/>
    <x v="1"/>
    <x v="1"/>
    <x v="1"/>
    <n v="6"/>
    <n v="46186"/>
    <x v="69"/>
    <n v="277116"/>
    <n v="9237.2000000000007"/>
    <x v="1"/>
  </r>
  <r>
    <n v="1071"/>
    <s v="Anita"/>
    <x v="2"/>
    <x v="0"/>
    <x v="1"/>
    <n v="3"/>
    <n v="29145"/>
    <x v="70"/>
    <n v="87435"/>
    <n v="5829"/>
    <x v="2"/>
  </r>
  <r>
    <n v="1072"/>
    <s v="Karan"/>
    <x v="1"/>
    <x v="2"/>
    <x v="3"/>
    <n v="7"/>
    <n v="35020"/>
    <x v="71"/>
    <n v="245140"/>
    <n v="7004"/>
    <x v="3"/>
  </r>
  <r>
    <n v="1073"/>
    <s v="Priya"/>
    <x v="3"/>
    <x v="3"/>
    <x v="7"/>
    <n v="3"/>
    <n v="21587"/>
    <x v="72"/>
    <n v="64761"/>
    <n v="4317.3999999999996"/>
    <x v="0"/>
  </r>
  <r>
    <n v="1074"/>
    <s v="Karan"/>
    <x v="3"/>
    <x v="1"/>
    <x v="0"/>
    <n v="8"/>
    <n v="42131"/>
    <x v="73"/>
    <n v="337048"/>
    <n v="8426.2000000000007"/>
    <x v="1"/>
  </r>
  <r>
    <n v="1075"/>
    <s v="Anita"/>
    <x v="3"/>
    <x v="1"/>
    <x v="4"/>
    <n v="4"/>
    <n v="10650"/>
    <x v="74"/>
    <n v="42600"/>
    <n v="2130"/>
    <x v="2"/>
  </r>
  <r>
    <n v="1076"/>
    <s v="Neha"/>
    <x v="1"/>
    <x v="2"/>
    <x v="7"/>
    <n v="1"/>
    <n v="20933"/>
    <x v="75"/>
    <n v="20933"/>
    <n v="4186.6000000000004"/>
    <x v="3"/>
  </r>
  <r>
    <n v="1077"/>
    <s v="Deepak"/>
    <x v="2"/>
    <x v="3"/>
    <x v="0"/>
    <n v="4"/>
    <n v="21581"/>
    <x v="76"/>
    <n v="86324"/>
    <n v="4316.2"/>
    <x v="0"/>
  </r>
  <r>
    <n v="1078"/>
    <s v="Deepak"/>
    <x v="2"/>
    <x v="3"/>
    <x v="7"/>
    <n v="7"/>
    <n v="24393"/>
    <x v="77"/>
    <n v="170751"/>
    <n v="4878.6000000000004"/>
    <x v="1"/>
  </r>
  <r>
    <n v="1079"/>
    <s v="Amit"/>
    <x v="1"/>
    <x v="1"/>
    <x v="4"/>
    <n v="4"/>
    <n v="24051"/>
    <x v="78"/>
    <n v="96204"/>
    <n v="4810.2"/>
    <x v="2"/>
  </r>
  <r>
    <n v="1080"/>
    <s v="Deepak"/>
    <x v="3"/>
    <x v="0"/>
    <x v="5"/>
    <n v="6"/>
    <n v="27212"/>
    <x v="79"/>
    <n v="163272"/>
    <n v="5442.4"/>
    <x v="3"/>
  </r>
  <r>
    <n v="1081"/>
    <s v="Vikas"/>
    <x v="3"/>
    <x v="1"/>
    <x v="5"/>
    <n v="9"/>
    <n v="5090"/>
    <x v="80"/>
    <n v="45810"/>
    <n v="1018"/>
    <x v="0"/>
  </r>
  <r>
    <n v="1082"/>
    <s v="Deepak"/>
    <x v="2"/>
    <x v="3"/>
    <x v="3"/>
    <n v="1"/>
    <n v="7960"/>
    <x v="81"/>
    <n v="7960"/>
    <n v="1592"/>
    <x v="1"/>
  </r>
  <r>
    <n v="1083"/>
    <s v="Anita"/>
    <x v="3"/>
    <x v="2"/>
    <x v="5"/>
    <n v="5"/>
    <n v="36772"/>
    <x v="82"/>
    <n v="183860"/>
    <n v="7354.4"/>
    <x v="2"/>
  </r>
  <r>
    <n v="1084"/>
    <s v="Amit"/>
    <x v="0"/>
    <x v="1"/>
    <x v="5"/>
    <n v="7"/>
    <n v="22520"/>
    <x v="83"/>
    <n v="157640"/>
    <n v="4504"/>
    <x v="3"/>
  </r>
  <r>
    <n v="1085"/>
    <s v="Anita"/>
    <x v="2"/>
    <x v="3"/>
    <x v="2"/>
    <n v="1"/>
    <n v="37408"/>
    <x v="84"/>
    <n v="37408"/>
    <n v="7481.6"/>
    <x v="0"/>
  </r>
  <r>
    <n v="1086"/>
    <s v="Anita"/>
    <x v="3"/>
    <x v="1"/>
    <x v="6"/>
    <n v="4"/>
    <n v="29470"/>
    <x v="85"/>
    <n v="117880"/>
    <n v="5894"/>
    <x v="1"/>
  </r>
  <r>
    <n v="1087"/>
    <s v="Ravi"/>
    <x v="2"/>
    <x v="0"/>
    <x v="2"/>
    <n v="6"/>
    <n v="21491"/>
    <x v="86"/>
    <n v="128946"/>
    <n v="4298.2"/>
    <x v="2"/>
  </r>
  <r>
    <n v="1088"/>
    <s v="Amit"/>
    <x v="0"/>
    <x v="1"/>
    <x v="2"/>
    <n v="2"/>
    <n v="2341"/>
    <x v="87"/>
    <n v="4682"/>
    <n v="468.2"/>
    <x v="3"/>
  </r>
  <r>
    <n v="1089"/>
    <s v="Anita"/>
    <x v="2"/>
    <x v="1"/>
    <x v="3"/>
    <n v="5"/>
    <n v="45623"/>
    <x v="88"/>
    <n v="228115"/>
    <n v="9124.6"/>
    <x v="0"/>
  </r>
  <r>
    <n v="1090"/>
    <s v="Ravi"/>
    <x v="2"/>
    <x v="3"/>
    <x v="2"/>
    <n v="1"/>
    <n v="25791"/>
    <x v="89"/>
    <n v="25791"/>
    <n v="5158.2"/>
    <x v="1"/>
  </r>
  <r>
    <n v="1091"/>
    <s v="Ravi"/>
    <x v="2"/>
    <x v="3"/>
    <x v="5"/>
    <n v="6"/>
    <n v="1338"/>
    <x v="90"/>
    <n v="8028"/>
    <n v="267.60000000000002"/>
    <x v="2"/>
  </r>
  <r>
    <n v="1092"/>
    <s v="Amit"/>
    <x v="2"/>
    <x v="3"/>
    <x v="4"/>
    <n v="6"/>
    <n v="6895"/>
    <x v="91"/>
    <n v="41370"/>
    <n v="1379"/>
    <x v="3"/>
  </r>
  <r>
    <n v="1093"/>
    <s v="Karan"/>
    <x v="0"/>
    <x v="1"/>
    <x v="3"/>
    <n v="4"/>
    <n v="13254"/>
    <x v="92"/>
    <n v="53016"/>
    <n v="2650.8"/>
    <x v="0"/>
  </r>
  <r>
    <n v="1094"/>
    <s v="Neha"/>
    <x v="1"/>
    <x v="0"/>
    <x v="3"/>
    <n v="8"/>
    <n v="12344"/>
    <x v="93"/>
    <n v="98752"/>
    <n v="2468.8000000000002"/>
    <x v="1"/>
  </r>
  <r>
    <n v="1095"/>
    <s v="Vikas"/>
    <x v="2"/>
    <x v="2"/>
    <x v="1"/>
    <n v="4"/>
    <n v="2750"/>
    <x v="94"/>
    <n v="11000"/>
    <n v="550"/>
    <x v="2"/>
  </r>
  <r>
    <n v="1096"/>
    <s v="Neha"/>
    <x v="2"/>
    <x v="2"/>
    <x v="3"/>
    <n v="8"/>
    <n v="3421"/>
    <x v="95"/>
    <n v="27368"/>
    <n v="684.2"/>
    <x v="3"/>
  </r>
  <r>
    <n v="1097"/>
    <s v="Deepak"/>
    <x v="3"/>
    <x v="3"/>
    <x v="1"/>
    <n v="8"/>
    <n v="40887"/>
    <x v="96"/>
    <n v="327096"/>
    <n v="8177.4"/>
    <x v="0"/>
  </r>
  <r>
    <n v="1098"/>
    <s v="Vikas"/>
    <x v="2"/>
    <x v="3"/>
    <x v="3"/>
    <n v="5"/>
    <n v="6319"/>
    <x v="97"/>
    <n v="31595"/>
    <n v="1263.8"/>
    <x v="1"/>
  </r>
  <r>
    <n v="1099"/>
    <s v="Deepak"/>
    <x v="3"/>
    <x v="1"/>
    <x v="6"/>
    <n v="4"/>
    <n v="16896"/>
    <x v="98"/>
    <n v="67584"/>
    <n v="3379.2"/>
    <x v="2"/>
  </r>
  <r>
    <n v="1100"/>
    <s v="Anita"/>
    <x v="1"/>
    <x v="2"/>
    <x v="5"/>
    <n v="2"/>
    <n v="12918"/>
    <x v="99"/>
    <n v="25836"/>
    <n v="2583.6"/>
    <x v="3"/>
  </r>
  <r>
    <n v="1101"/>
    <s v="Priya"/>
    <x v="0"/>
    <x v="3"/>
    <x v="3"/>
    <n v="3"/>
    <n v="26064"/>
    <x v="100"/>
    <n v="78192"/>
    <n v="5212.8"/>
    <x v="0"/>
  </r>
  <r>
    <n v="1102"/>
    <s v="Amit"/>
    <x v="0"/>
    <x v="0"/>
    <x v="5"/>
    <n v="3"/>
    <n v="47617"/>
    <x v="101"/>
    <n v="142851"/>
    <n v="9523.4"/>
    <x v="1"/>
  </r>
  <r>
    <n v="1103"/>
    <s v="Vikas"/>
    <x v="1"/>
    <x v="0"/>
    <x v="5"/>
    <n v="4"/>
    <n v="28935"/>
    <x v="102"/>
    <n v="115740"/>
    <n v="5787"/>
    <x v="2"/>
  </r>
  <r>
    <n v="1104"/>
    <s v="Vikas"/>
    <x v="0"/>
    <x v="3"/>
    <x v="7"/>
    <n v="4"/>
    <n v="38641"/>
    <x v="103"/>
    <n v="154564"/>
    <n v="7728.2"/>
    <x v="3"/>
  </r>
  <r>
    <n v="1105"/>
    <s v="Anita"/>
    <x v="1"/>
    <x v="3"/>
    <x v="3"/>
    <n v="5"/>
    <n v="30711"/>
    <x v="104"/>
    <n v="153555"/>
    <n v="6142.2"/>
    <x v="0"/>
  </r>
  <r>
    <n v="1106"/>
    <s v="Karan"/>
    <x v="1"/>
    <x v="2"/>
    <x v="0"/>
    <n v="4"/>
    <n v="5806"/>
    <x v="105"/>
    <n v="23224"/>
    <n v="1161.2"/>
    <x v="1"/>
  </r>
  <r>
    <n v="1107"/>
    <s v="Ravi"/>
    <x v="1"/>
    <x v="2"/>
    <x v="7"/>
    <n v="8"/>
    <n v="42360"/>
    <x v="106"/>
    <n v="338880"/>
    <n v="8472"/>
    <x v="2"/>
  </r>
  <r>
    <n v="1108"/>
    <s v="Anita"/>
    <x v="0"/>
    <x v="1"/>
    <x v="0"/>
    <n v="6"/>
    <n v="13182"/>
    <x v="107"/>
    <n v="79092"/>
    <n v="2636.4"/>
    <x v="3"/>
  </r>
  <r>
    <n v="1109"/>
    <s v="Pooja"/>
    <x v="3"/>
    <x v="2"/>
    <x v="5"/>
    <n v="6"/>
    <n v="23297"/>
    <x v="108"/>
    <n v="139782"/>
    <n v="4659.3999999999996"/>
    <x v="0"/>
  </r>
  <r>
    <n v="1110"/>
    <s v="Ravi"/>
    <x v="1"/>
    <x v="0"/>
    <x v="5"/>
    <n v="8"/>
    <n v="20541"/>
    <x v="109"/>
    <n v="164328"/>
    <n v="4108.2"/>
    <x v="1"/>
  </r>
  <r>
    <n v="1111"/>
    <s v="Amit"/>
    <x v="2"/>
    <x v="0"/>
    <x v="7"/>
    <n v="7"/>
    <n v="29921"/>
    <x v="110"/>
    <n v="209447"/>
    <n v="5984.2"/>
    <x v="2"/>
  </r>
  <r>
    <n v="1112"/>
    <s v="Ravi"/>
    <x v="0"/>
    <x v="3"/>
    <x v="7"/>
    <n v="8"/>
    <n v="17774"/>
    <x v="111"/>
    <n v="142192"/>
    <n v="3554.8"/>
    <x v="3"/>
  </r>
  <r>
    <n v="1113"/>
    <s v="Karan"/>
    <x v="1"/>
    <x v="2"/>
    <x v="0"/>
    <n v="2"/>
    <n v="45813"/>
    <x v="112"/>
    <n v="91626"/>
    <n v="9162.6"/>
    <x v="0"/>
  </r>
  <r>
    <n v="1114"/>
    <s v="Ravi"/>
    <x v="1"/>
    <x v="1"/>
    <x v="1"/>
    <n v="9"/>
    <n v="38198"/>
    <x v="113"/>
    <n v="343782"/>
    <n v="7639.6"/>
    <x v="1"/>
  </r>
  <r>
    <n v="1115"/>
    <s v="Amit"/>
    <x v="2"/>
    <x v="0"/>
    <x v="0"/>
    <n v="1"/>
    <n v="9820"/>
    <x v="114"/>
    <n v="9820"/>
    <n v="1964"/>
    <x v="2"/>
  </r>
  <r>
    <n v="1116"/>
    <s v="Karan"/>
    <x v="3"/>
    <x v="0"/>
    <x v="7"/>
    <n v="8"/>
    <n v="25070"/>
    <x v="115"/>
    <n v="200560"/>
    <n v="5014"/>
    <x v="3"/>
  </r>
  <r>
    <n v="1117"/>
    <s v="Neha"/>
    <x v="3"/>
    <x v="1"/>
    <x v="4"/>
    <n v="4"/>
    <n v="5232"/>
    <x v="116"/>
    <n v="20928"/>
    <n v="1046.4000000000001"/>
    <x v="0"/>
  </r>
  <r>
    <n v="1118"/>
    <s v="Vikas"/>
    <x v="3"/>
    <x v="1"/>
    <x v="7"/>
    <n v="4"/>
    <n v="12122"/>
    <x v="117"/>
    <n v="48488"/>
    <n v="2424.4"/>
    <x v="1"/>
  </r>
  <r>
    <n v="1119"/>
    <s v="Vikas"/>
    <x v="1"/>
    <x v="0"/>
    <x v="4"/>
    <n v="5"/>
    <n v="16023"/>
    <x v="118"/>
    <n v="80115"/>
    <n v="3204.6"/>
    <x v="2"/>
  </r>
  <r>
    <n v="1120"/>
    <s v="Deepak"/>
    <x v="1"/>
    <x v="0"/>
    <x v="6"/>
    <n v="8"/>
    <n v="9007"/>
    <x v="119"/>
    <n v="72056"/>
    <n v="1801.4"/>
    <x v="3"/>
  </r>
  <r>
    <n v="1121"/>
    <s v="Neha"/>
    <x v="1"/>
    <x v="1"/>
    <x v="7"/>
    <n v="5"/>
    <n v="18905"/>
    <x v="120"/>
    <n v="94525"/>
    <n v="3781"/>
    <x v="0"/>
  </r>
  <r>
    <n v="1122"/>
    <s v="Neha"/>
    <x v="0"/>
    <x v="0"/>
    <x v="6"/>
    <n v="8"/>
    <n v="42786"/>
    <x v="121"/>
    <n v="342288"/>
    <n v="8557.2000000000007"/>
    <x v="1"/>
  </r>
  <r>
    <n v="1123"/>
    <s v="Ravi"/>
    <x v="2"/>
    <x v="3"/>
    <x v="1"/>
    <n v="1"/>
    <n v="30398"/>
    <x v="122"/>
    <n v="30398"/>
    <n v="6079.6"/>
    <x v="2"/>
  </r>
  <r>
    <n v="1124"/>
    <s v="Vikas"/>
    <x v="1"/>
    <x v="3"/>
    <x v="0"/>
    <n v="9"/>
    <n v="35268"/>
    <x v="123"/>
    <n v="317412"/>
    <n v="7053.6"/>
    <x v="3"/>
  </r>
  <r>
    <n v="1125"/>
    <s v="Amit"/>
    <x v="2"/>
    <x v="1"/>
    <x v="4"/>
    <n v="6"/>
    <n v="7737"/>
    <x v="124"/>
    <n v="46422"/>
    <n v="1547.4"/>
    <x v="0"/>
  </r>
  <r>
    <n v="1126"/>
    <s v="Sneha"/>
    <x v="2"/>
    <x v="2"/>
    <x v="0"/>
    <n v="3"/>
    <n v="37062"/>
    <x v="125"/>
    <n v="111186"/>
    <n v="7412.4"/>
    <x v="1"/>
  </r>
  <r>
    <n v="1127"/>
    <s v="Sneha"/>
    <x v="3"/>
    <x v="1"/>
    <x v="6"/>
    <n v="8"/>
    <n v="26510"/>
    <x v="126"/>
    <n v="212080"/>
    <n v="5302"/>
    <x v="2"/>
  </r>
  <r>
    <n v="1128"/>
    <s v="Karan"/>
    <x v="0"/>
    <x v="1"/>
    <x v="4"/>
    <n v="9"/>
    <n v="20426"/>
    <x v="127"/>
    <n v="183834"/>
    <n v="4085.2"/>
    <x v="3"/>
  </r>
  <r>
    <n v="1129"/>
    <s v="Vikas"/>
    <x v="1"/>
    <x v="2"/>
    <x v="0"/>
    <n v="6"/>
    <n v="38265"/>
    <x v="128"/>
    <n v="229590"/>
    <n v="7653"/>
    <x v="0"/>
  </r>
  <r>
    <n v="1130"/>
    <s v="Vikas"/>
    <x v="3"/>
    <x v="2"/>
    <x v="7"/>
    <n v="7"/>
    <n v="18850"/>
    <x v="129"/>
    <n v="131950"/>
    <n v="3770"/>
    <x v="1"/>
  </r>
  <r>
    <n v="1131"/>
    <s v="Sneha"/>
    <x v="3"/>
    <x v="2"/>
    <x v="5"/>
    <n v="1"/>
    <n v="1614"/>
    <x v="130"/>
    <n v="1614"/>
    <n v="322.8"/>
    <x v="2"/>
  </r>
  <r>
    <n v="1132"/>
    <s v="Vikas"/>
    <x v="1"/>
    <x v="3"/>
    <x v="6"/>
    <n v="5"/>
    <n v="22776"/>
    <x v="131"/>
    <n v="113880"/>
    <n v="4555.2"/>
    <x v="3"/>
  </r>
  <r>
    <n v="1133"/>
    <s v="Ravi"/>
    <x v="2"/>
    <x v="0"/>
    <x v="0"/>
    <n v="5"/>
    <n v="25077"/>
    <x v="132"/>
    <n v="125385"/>
    <n v="5015.3999999999996"/>
    <x v="0"/>
  </r>
  <r>
    <n v="1134"/>
    <s v="Pooja"/>
    <x v="3"/>
    <x v="3"/>
    <x v="6"/>
    <n v="4"/>
    <n v="10374"/>
    <x v="133"/>
    <n v="41496"/>
    <n v="2074.8000000000002"/>
    <x v="1"/>
  </r>
  <r>
    <n v="1135"/>
    <s v="Priya"/>
    <x v="2"/>
    <x v="0"/>
    <x v="2"/>
    <n v="6"/>
    <n v="36435"/>
    <x v="134"/>
    <n v="218610"/>
    <n v="7287"/>
    <x v="2"/>
  </r>
  <r>
    <n v="1136"/>
    <s v="Neha"/>
    <x v="0"/>
    <x v="3"/>
    <x v="6"/>
    <n v="7"/>
    <n v="31907"/>
    <x v="135"/>
    <n v="223349"/>
    <n v="6381.4"/>
    <x v="3"/>
  </r>
  <r>
    <n v="1137"/>
    <s v="Deepak"/>
    <x v="2"/>
    <x v="0"/>
    <x v="4"/>
    <n v="9"/>
    <n v="14409"/>
    <x v="136"/>
    <n v="129681"/>
    <n v="2881.8"/>
    <x v="0"/>
  </r>
  <r>
    <n v="1138"/>
    <s v="Karan"/>
    <x v="0"/>
    <x v="3"/>
    <x v="2"/>
    <n v="1"/>
    <n v="17514"/>
    <x v="137"/>
    <n v="17514"/>
    <n v="3502.8"/>
    <x v="1"/>
  </r>
  <r>
    <n v="1139"/>
    <s v="Pooja"/>
    <x v="2"/>
    <x v="2"/>
    <x v="3"/>
    <n v="6"/>
    <n v="30866"/>
    <x v="138"/>
    <n v="185196"/>
    <n v="6173.2"/>
    <x v="2"/>
  </r>
  <r>
    <n v="1140"/>
    <s v="Sneha"/>
    <x v="3"/>
    <x v="1"/>
    <x v="4"/>
    <n v="7"/>
    <n v="3983"/>
    <x v="139"/>
    <n v="27881"/>
    <n v="796.6"/>
    <x v="3"/>
  </r>
  <r>
    <n v="1141"/>
    <s v="Neha"/>
    <x v="3"/>
    <x v="3"/>
    <x v="5"/>
    <n v="3"/>
    <n v="32705"/>
    <x v="140"/>
    <n v="98115"/>
    <n v="6541"/>
    <x v="0"/>
  </r>
  <r>
    <n v="1142"/>
    <s v="Vikas"/>
    <x v="0"/>
    <x v="0"/>
    <x v="2"/>
    <n v="8"/>
    <n v="21662"/>
    <x v="141"/>
    <n v="173296"/>
    <n v="4332.3999999999996"/>
    <x v="1"/>
  </r>
  <r>
    <n v="1143"/>
    <s v="Deepak"/>
    <x v="1"/>
    <x v="2"/>
    <x v="3"/>
    <n v="5"/>
    <n v="24510"/>
    <x v="142"/>
    <n v="122550"/>
    <n v="4902"/>
    <x v="2"/>
  </r>
  <r>
    <n v="1144"/>
    <s v="Vikas"/>
    <x v="0"/>
    <x v="3"/>
    <x v="7"/>
    <n v="9"/>
    <n v="13651"/>
    <x v="143"/>
    <n v="122859"/>
    <n v="2730.2"/>
    <x v="3"/>
  </r>
  <r>
    <n v="1145"/>
    <s v="Amit"/>
    <x v="0"/>
    <x v="3"/>
    <x v="6"/>
    <n v="5"/>
    <n v="41998"/>
    <x v="144"/>
    <n v="209990"/>
    <n v="8399.6"/>
    <x v="0"/>
  </r>
  <r>
    <n v="1146"/>
    <s v="Amit"/>
    <x v="2"/>
    <x v="2"/>
    <x v="0"/>
    <n v="9"/>
    <n v="29535"/>
    <x v="145"/>
    <n v="265815"/>
    <n v="5907"/>
    <x v="1"/>
  </r>
  <r>
    <n v="1147"/>
    <s v="Deepak"/>
    <x v="2"/>
    <x v="3"/>
    <x v="1"/>
    <n v="4"/>
    <n v="7640"/>
    <x v="146"/>
    <n v="30560"/>
    <n v="1528"/>
    <x v="2"/>
  </r>
  <r>
    <n v="1148"/>
    <s v="Deepak"/>
    <x v="0"/>
    <x v="1"/>
    <x v="6"/>
    <n v="9"/>
    <n v="45547"/>
    <x v="147"/>
    <n v="409923"/>
    <n v="9109.4"/>
    <x v="3"/>
  </r>
  <r>
    <n v="1149"/>
    <s v="Sneha"/>
    <x v="3"/>
    <x v="3"/>
    <x v="3"/>
    <n v="5"/>
    <n v="16317"/>
    <x v="148"/>
    <n v="81585"/>
    <n v="3263.4"/>
    <x v="0"/>
  </r>
  <r>
    <n v="1150"/>
    <s v="Deepak"/>
    <x v="2"/>
    <x v="1"/>
    <x v="6"/>
    <n v="9"/>
    <n v="8564"/>
    <x v="149"/>
    <n v="77076"/>
    <n v="1712.8"/>
    <x v="1"/>
  </r>
  <r>
    <n v="1151"/>
    <s v="Ravi"/>
    <x v="1"/>
    <x v="1"/>
    <x v="5"/>
    <n v="3"/>
    <n v="28345"/>
    <x v="150"/>
    <n v="85035"/>
    <n v="5669"/>
    <x v="2"/>
  </r>
  <r>
    <n v="1152"/>
    <s v="Vikas"/>
    <x v="2"/>
    <x v="2"/>
    <x v="7"/>
    <n v="4"/>
    <n v="49288"/>
    <x v="151"/>
    <n v="197152"/>
    <n v="9857.6"/>
    <x v="3"/>
  </r>
  <r>
    <n v="1153"/>
    <s v="Pooja"/>
    <x v="2"/>
    <x v="3"/>
    <x v="1"/>
    <n v="9"/>
    <n v="29687"/>
    <x v="152"/>
    <n v="267183"/>
    <n v="5937.4"/>
    <x v="0"/>
  </r>
  <r>
    <n v="1154"/>
    <s v="Anita"/>
    <x v="1"/>
    <x v="2"/>
    <x v="2"/>
    <n v="6"/>
    <n v="14737"/>
    <x v="153"/>
    <n v="88422"/>
    <n v="2947.4"/>
    <x v="1"/>
  </r>
  <r>
    <n v="1155"/>
    <s v="Deepak"/>
    <x v="0"/>
    <x v="3"/>
    <x v="2"/>
    <n v="2"/>
    <n v="10323"/>
    <x v="154"/>
    <n v="20646"/>
    <n v="2064.6"/>
    <x v="2"/>
  </r>
  <r>
    <n v="1156"/>
    <s v="Karan"/>
    <x v="1"/>
    <x v="3"/>
    <x v="2"/>
    <n v="7"/>
    <n v="16229"/>
    <x v="155"/>
    <n v="113603"/>
    <n v="3245.8"/>
    <x v="3"/>
  </r>
  <r>
    <n v="1157"/>
    <s v="Amit"/>
    <x v="0"/>
    <x v="0"/>
    <x v="3"/>
    <n v="2"/>
    <n v="45481"/>
    <x v="156"/>
    <n v="90962"/>
    <n v="9096.2000000000007"/>
    <x v="0"/>
  </r>
  <r>
    <n v="1158"/>
    <s v="Ravi"/>
    <x v="0"/>
    <x v="3"/>
    <x v="4"/>
    <n v="2"/>
    <n v="9502"/>
    <x v="157"/>
    <n v="19004"/>
    <n v="1900.4"/>
    <x v="1"/>
  </r>
  <r>
    <n v="1159"/>
    <s v="Neha"/>
    <x v="0"/>
    <x v="2"/>
    <x v="4"/>
    <n v="1"/>
    <n v="1545"/>
    <x v="158"/>
    <n v="1545"/>
    <n v="309"/>
    <x v="2"/>
  </r>
  <r>
    <n v="1160"/>
    <s v="Anita"/>
    <x v="1"/>
    <x v="1"/>
    <x v="0"/>
    <n v="3"/>
    <n v="38114"/>
    <x v="159"/>
    <n v="114342"/>
    <n v="7622.8"/>
    <x v="3"/>
  </r>
  <r>
    <n v="1161"/>
    <s v="Pooja"/>
    <x v="0"/>
    <x v="3"/>
    <x v="1"/>
    <n v="6"/>
    <n v="30430"/>
    <x v="160"/>
    <n v="182580"/>
    <n v="6086"/>
    <x v="0"/>
  </r>
  <r>
    <n v="1162"/>
    <s v="Anita"/>
    <x v="3"/>
    <x v="0"/>
    <x v="2"/>
    <n v="8"/>
    <n v="10996"/>
    <x v="161"/>
    <n v="87968"/>
    <n v="2199.1999999999998"/>
    <x v="1"/>
  </r>
  <r>
    <n v="1163"/>
    <s v="Deepak"/>
    <x v="1"/>
    <x v="2"/>
    <x v="4"/>
    <n v="9"/>
    <n v="28788"/>
    <x v="162"/>
    <n v="259092"/>
    <n v="5757.6"/>
    <x v="2"/>
  </r>
  <r>
    <n v="1164"/>
    <s v="Sneha"/>
    <x v="3"/>
    <x v="3"/>
    <x v="3"/>
    <n v="7"/>
    <n v="30969"/>
    <x v="163"/>
    <n v="216783"/>
    <n v="6193.8"/>
    <x v="3"/>
  </r>
  <r>
    <n v="1165"/>
    <s v="Amit"/>
    <x v="0"/>
    <x v="2"/>
    <x v="0"/>
    <n v="4"/>
    <n v="49543"/>
    <x v="164"/>
    <n v="198172"/>
    <n v="9908.6"/>
    <x v="0"/>
  </r>
  <r>
    <n v="1166"/>
    <s v="Amit"/>
    <x v="2"/>
    <x v="0"/>
    <x v="7"/>
    <n v="6"/>
    <n v="14919"/>
    <x v="165"/>
    <n v="89514"/>
    <n v="2983.8"/>
    <x v="1"/>
  </r>
  <r>
    <n v="1167"/>
    <s v="Neha"/>
    <x v="0"/>
    <x v="0"/>
    <x v="0"/>
    <n v="5"/>
    <n v="4810"/>
    <x v="166"/>
    <n v="24050"/>
    <n v="962"/>
    <x v="2"/>
  </r>
  <r>
    <n v="1168"/>
    <s v="Sneha"/>
    <x v="3"/>
    <x v="2"/>
    <x v="4"/>
    <n v="8"/>
    <n v="31586"/>
    <x v="167"/>
    <n v="252688"/>
    <n v="6317.2"/>
    <x v="3"/>
  </r>
  <r>
    <n v="1169"/>
    <s v="Vikas"/>
    <x v="3"/>
    <x v="3"/>
    <x v="5"/>
    <n v="1"/>
    <n v="40974"/>
    <x v="168"/>
    <n v="40974"/>
    <n v="8194.7999999999993"/>
    <x v="0"/>
  </r>
  <r>
    <n v="1170"/>
    <s v="Priya"/>
    <x v="1"/>
    <x v="1"/>
    <x v="3"/>
    <n v="1"/>
    <n v="42773"/>
    <x v="169"/>
    <n v="42773"/>
    <n v="8554.6"/>
    <x v="1"/>
  </r>
  <r>
    <n v="1171"/>
    <s v="Ravi"/>
    <x v="2"/>
    <x v="0"/>
    <x v="5"/>
    <n v="6"/>
    <n v="17371"/>
    <x v="170"/>
    <n v="104226"/>
    <n v="3474.2"/>
    <x v="2"/>
  </r>
  <r>
    <n v="1172"/>
    <s v="Amit"/>
    <x v="1"/>
    <x v="3"/>
    <x v="2"/>
    <n v="2"/>
    <n v="46084"/>
    <x v="171"/>
    <n v="92168"/>
    <n v="9216.7999999999993"/>
    <x v="3"/>
  </r>
  <r>
    <n v="1173"/>
    <s v="Karan"/>
    <x v="3"/>
    <x v="3"/>
    <x v="5"/>
    <n v="5"/>
    <n v="30629"/>
    <x v="172"/>
    <n v="153145"/>
    <n v="6125.8"/>
    <x v="0"/>
  </r>
  <r>
    <n v="1174"/>
    <s v="Amit"/>
    <x v="0"/>
    <x v="1"/>
    <x v="2"/>
    <n v="1"/>
    <n v="9436"/>
    <x v="173"/>
    <n v="9436"/>
    <n v="1887.2"/>
    <x v="1"/>
  </r>
  <r>
    <n v="1175"/>
    <s v="Anita"/>
    <x v="2"/>
    <x v="0"/>
    <x v="2"/>
    <n v="7"/>
    <n v="13984"/>
    <x v="174"/>
    <n v="97888"/>
    <n v="2796.8"/>
    <x v="2"/>
  </r>
  <r>
    <n v="1176"/>
    <s v="Amit"/>
    <x v="0"/>
    <x v="0"/>
    <x v="4"/>
    <n v="1"/>
    <n v="34039"/>
    <x v="175"/>
    <n v="34039"/>
    <n v="6807.8"/>
    <x v="3"/>
  </r>
  <r>
    <n v="1177"/>
    <s v="Amit"/>
    <x v="0"/>
    <x v="3"/>
    <x v="5"/>
    <n v="4"/>
    <n v="20895"/>
    <x v="176"/>
    <n v="83580"/>
    <n v="4179"/>
    <x v="0"/>
  </r>
  <r>
    <n v="1178"/>
    <s v="Priya"/>
    <x v="2"/>
    <x v="3"/>
    <x v="2"/>
    <n v="9"/>
    <n v="19155"/>
    <x v="177"/>
    <n v="172395"/>
    <n v="3831"/>
    <x v="1"/>
  </r>
  <r>
    <n v="1179"/>
    <s v="Priya"/>
    <x v="1"/>
    <x v="1"/>
    <x v="1"/>
    <n v="1"/>
    <n v="11616"/>
    <x v="178"/>
    <n v="11616"/>
    <n v="2323.1999999999998"/>
    <x v="2"/>
  </r>
  <r>
    <n v="1180"/>
    <s v="Pooja"/>
    <x v="0"/>
    <x v="1"/>
    <x v="7"/>
    <n v="4"/>
    <n v="38129"/>
    <x v="179"/>
    <n v="152516"/>
    <n v="7625.8"/>
    <x v="3"/>
  </r>
  <r>
    <n v="1181"/>
    <s v="Vikas"/>
    <x v="3"/>
    <x v="0"/>
    <x v="0"/>
    <n v="6"/>
    <n v="40837"/>
    <x v="180"/>
    <n v="245022"/>
    <n v="8167.4"/>
    <x v="0"/>
  </r>
  <r>
    <n v="1182"/>
    <s v="Karan"/>
    <x v="0"/>
    <x v="2"/>
    <x v="0"/>
    <n v="6"/>
    <n v="25574"/>
    <x v="181"/>
    <n v="153444"/>
    <n v="5114.8"/>
    <x v="1"/>
  </r>
  <r>
    <n v="1183"/>
    <s v="Amit"/>
    <x v="2"/>
    <x v="0"/>
    <x v="4"/>
    <n v="8"/>
    <n v="4430"/>
    <x v="182"/>
    <n v="35440"/>
    <n v="886"/>
    <x v="2"/>
  </r>
  <r>
    <n v="1184"/>
    <s v="Amit"/>
    <x v="2"/>
    <x v="3"/>
    <x v="5"/>
    <n v="1"/>
    <n v="13676"/>
    <x v="183"/>
    <n v="13676"/>
    <n v="2735.2"/>
    <x v="3"/>
  </r>
  <r>
    <n v="1185"/>
    <s v="Ravi"/>
    <x v="2"/>
    <x v="0"/>
    <x v="5"/>
    <n v="7"/>
    <n v="11816"/>
    <x v="184"/>
    <n v="82712"/>
    <n v="2363.1999999999998"/>
    <x v="0"/>
  </r>
  <r>
    <n v="1186"/>
    <s v="Priya"/>
    <x v="1"/>
    <x v="2"/>
    <x v="2"/>
    <n v="1"/>
    <n v="33733"/>
    <x v="185"/>
    <n v="33733"/>
    <n v="6746.6"/>
    <x v="1"/>
  </r>
  <r>
    <n v="1187"/>
    <s v="Karan"/>
    <x v="0"/>
    <x v="1"/>
    <x v="3"/>
    <n v="7"/>
    <n v="21144"/>
    <x v="186"/>
    <n v="148008"/>
    <n v="4228.8"/>
    <x v="2"/>
  </r>
  <r>
    <n v="1188"/>
    <s v="Neha"/>
    <x v="1"/>
    <x v="2"/>
    <x v="6"/>
    <n v="3"/>
    <n v="3050"/>
    <x v="187"/>
    <n v="9150"/>
    <n v="610"/>
    <x v="3"/>
  </r>
  <r>
    <n v="1189"/>
    <s v="Pooja"/>
    <x v="1"/>
    <x v="2"/>
    <x v="2"/>
    <n v="8"/>
    <n v="45460"/>
    <x v="188"/>
    <n v="363680"/>
    <n v="9092"/>
    <x v="0"/>
  </r>
  <r>
    <n v="1190"/>
    <s v="Vikas"/>
    <x v="2"/>
    <x v="2"/>
    <x v="7"/>
    <n v="3"/>
    <n v="34933"/>
    <x v="189"/>
    <n v="104799"/>
    <n v="6986.6"/>
    <x v="1"/>
  </r>
  <r>
    <n v="1191"/>
    <s v="Sneha"/>
    <x v="2"/>
    <x v="1"/>
    <x v="1"/>
    <n v="1"/>
    <n v="25951"/>
    <x v="190"/>
    <n v="25951"/>
    <n v="5190.2"/>
    <x v="2"/>
  </r>
  <r>
    <n v="1192"/>
    <s v="Vikas"/>
    <x v="1"/>
    <x v="2"/>
    <x v="0"/>
    <n v="8"/>
    <n v="33413"/>
    <x v="191"/>
    <n v="267304"/>
    <n v="6682.6"/>
    <x v="3"/>
  </r>
  <r>
    <n v="1193"/>
    <s v="Anita"/>
    <x v="0"/>
    <x v="2"/>
    <x v="2"/>
    <n v="3"/>
    <n v="35801"/>
    <x v="192"/>
    <n v="107403"/>
    <n v="7160.2"/>
    <x v="0"/>
  </r>
  <r>
    <n v="1194"/>
    <s v="Amit"/>
    <x v="3"/>
    <x v="2"/>
    <x v="6"/>
    <n v="2"/>
    <n v="33913"/>
    <x v="193"/>
    <n v="67826"/>
    <n v="6782.6"/>
    <x v="1"/>
  </r>
  <r>
    <n v="1195"/>
    <s v="Pooja"/>
    <x v="1"/>
    <x v="3"/>
    <x v="6"/>
    <n v="1"/>
    <n v="48037"/>
    <x v="194"/>
    <n v="48037"/>
    <n v="9607.4"/>
    <x v="2"/>
  </r>
  <r>
    <n v="1196"/>
    <s v="Anita"/>
    <x v="0"/>
    <x v="2"/>
    <x v="2"/>
    <n v="3"/>
    <n v="41600"/>
    <x v="195"/>
    <n v="124800"/>
    <n v="8320"/>
    <x v="3"/>
  </r>
  <r>
    <n v="1197"/>
    <s v="Karan"/>
    <x v="2"/>
    <x v="1"/>
    <x v="4"/>
    <n v="2"/>
    <n v="26280"/>
    <x v="196"/>
    <n v="52560"/>
    <n v="5256"/>
    <x v="0"/>
  </r>
  <r>
    <n v="1198"/>
    <s v="Sneha"/>
    <x v="2"/>
    <x v="2"/>
    <x v="0"/>
    <n v="2"/>
    <n v="25557"/>
    <x v="197"/>
    <n v="51114"/>
    <n v="5111.3999999999996"/>
    <x v="1"/>
  </r>
  <r>
    <n v="1199"/>
    <s v="Priya"/>
    <x v="0"/>
    <x v="2"/>
    <x v="4"/>
    <n v="6"/>
    <n v="48054"/>
    <x v="198"/>
    <n v="288324"/>
    <n v="9610.7999999999993"/>
    <x v="2"/>
  </r>
  <r>
    <n v="1200"/>
    <s v="Pooja"/>
    <x v="3"/>
    <x v="1"/>
    <x v="1"/>
    <n v="1"/>
    <n v="36400"/>
    <x v="199"/>
    <n v="36400"/>
    <n v="7280"/>
    <x v="3"/>
  </r>
  <r>
    <n v="1201"/>
    <s v="Pooja"/>
    <x v="2"/>
    <x v="2"/>
    <x v="6"/>
    <n v="2"/>
    <n v="5494"/>
    <x v="200"/>
    <n v="10988"/>
    <n v="1098.8"/>
    <x v="0"/>
  </r>
  <r>
    <n v="1202"/>
    <s v="Amit"/>
    <x v="2"/>
    <x v="1"/>
    <x v="6"/>
    <n v="6"/>
    <n v="16152"/>
    <x v="201"/>
    <n v="96912"/>
    <n v="3230.4"/>
    <x v="1"/>
  </r>
  <r>
    <n v="1203"/>
    <s v="Deepak"/>
    <x v="2"/>
    <x v="2"/>
    <x v="7"/>
    <n v="3"/>
    <n v="24895"/>
    <x v="202"/>
    <n v="74685"/>
    <n v="4979"/>
    <x v="2"/>
  </r>
  <r>
    <n v="1204"/>
    <s v="Pooja"/>
    <x v="0"/>
    <x v="1"/>
    <x v="1"/>
    <n v="4"/>
    <n v="10155"/>
    <x v="203"/>
    <n v="40620"/>
    <n v="2031"/>
    <x v="3"/>
  </r>
  <r>
    <n v="1205"/>
    <s v="Ravi"/>
    <x v="1"/>
    <x v="2"/>
    <x v="6"/>
    <n v="1"/>
    <n v="32883"/>
    <x v="204"/>
    <n v="32883"/>
    <n v="6576.6"/>
    <x v="0"/>
  </r>
  <r>
    <n v="1206"/>
    <s v="Sneha"/>
    <x v="2"/>
    <x v="2"/>
    <x v="1"/>
    <n v="8"/>
    <n v="44194"/>
    <x v="205"/>
    <n v="353552"/>
    <n v="8838.7999999999993"/>
    <x v="1"/>
  </r>
  <r>
    <n v="1207"/>
    <s v="Sneha"/>
    <x v="1"/>
    <x v="3"/>
    <x v="0"/>
    <n v="7"/>
    <n v="44001"/>
    <x v="206"/>
    <n v="308007"/>
    <n v="8800.2000000000007"/>
    <x v="2"/>
  </r>
  <r>
    <n v="1208"/>
    <s v="Ravi"/>
    <x v="3"/>
    <x v="3"/>
    <x v="5"/>
    <n v="7"/>
    <n v="2828"/>
    <x v="207"/>
    <n v="19796"/>
    <n v="565.6"/>
    <x v="3"/>
  </r>
  <r>
    <n v="1209"/>
    <s v="Neha"/>
    <x v="2"/>
    <x v="2"/>
    <x v="6"/>
    <n v="3"/>
    <n v="46028"/>
    <x v="208"/>
    <n v="138084"/>
    <n v="9205.6"/>
    <x v="0"/>
  </r>
  <r>
    <n v="1210"/>
    <s v="Ravi"/>
    <x v="2"/>
    <x v="2"/>
    <x v="7"/>
    <n v="3"/>
    <n v="42898"/>
    <x v="209"/>
    <n v="128694"/>
    <n v="8579.6"/>
    <x v="1"/>
  </r>
  <r>
    <n v="1211"/>
    <s v="Ravi"/>
    <x v="3"/>
    <x v="0"/>
    <x v="0"/>
    <n v="2"/>
    <n v="33123"/>
    <x v="210"/>
    <n v="66246"/>
    <n v="6624.6"/>
    <x v="2"/>
  </r>
  <r>
    <n v="1212"/>
    <s v="Sneha"/>
    <x v="2"/>
    <x v="1"/>
    <x v="2"/>
    <n v="1"/>
    <n v="38573"/>
    <x v="211"/>
    <n v="38573"/>
    <n v="7714.6"/>
    <x v="3"/>
  </r>
  <r>
    <n v="1213"/>
    <s v="Vikas"/>
    <x v="1"/>
    <x v="0"/>
    <x v="1"/>
    <n v="7"/>
    <n v="1806"/>
    <x v="212"/>
    <n v="12642"/>
    <n v="361.2"/>
    <x v="0"/>
  </r>
  <r>
    <n v="1214"/>
    <s v="Sneha"/>
    <x v="0"/>
    <x v="3"/>
    <x v="2"/>
    <n v="7"/>
    <n v="41970"/>
    <x v="213"/>
    <n v="293790"/>
    <n v="8394"/>
    <x v="1"/>
  </r>
  <r>
    <n v="1215"/>
    <s v="Deepak"/>
    <x v="1"/>
    <x v="3"/>
    <x v="4"/>
    <n v="2"/>
    <n v="30757"/>
    <x v="214"/>
    <n v="61514"/>
    <n v="6151.4"/>
    <x v="2"/>
  </r>
  <r>
    <n v="1216"/>
    <s v="Amit"/>
    <x v="0"/>
    <x v="3"/>
    <x v="0"/>
    <n v="7"/>
    <n v="35636"/>
    <x v="215"/>
    <n v="249452"/>
    <n v="7127.2"/>
    <x v="3"/>
  </r>
  <r>
    <n v="1217"/>
    <s v="Anita"/>
    <x v="0"/>
    <x v="3"/>
    <x v="2"/>
    <n v="8"/>
    <n v="15561"/>
    <x v="216"/>
    <n v="124488"/>
    <n v="3112.2"/>
    <x v="0"/>
  </r>
  <r>
    <n v="1218"/>
    <s v="Vikas"/>
    <x v="1"/>
    <x v="2"/>
    <x v="3"/>
    <n v="1"/>
    <n v="49280"/>
    <x v="217"/>
    <n v="49280"/>
    <n v="9856"/>
    <x v="1"/>
  </r>
  <r>
    <n v="1219"/>
    <s v="Priya"/>
    <x v="1"/>
    <x v="3"/>
    <x v="3"/>
    <n v="9"/>
    <n v="25262"/>
    <x v="218"/>
    <n v="227358"/>
    <n v="5052.3999999999996"/>
    <x v="2"/>
  </r>
  <r>
    <n v="1220"/>
    <s v="Anita"/>
    <x v="1"/>
    <x v="2"/>
    <x v="6"/>
    <n v="7"/>
    <n v="15899"/>
    <x v="219"/>
    <n v="111293"/>
    <n v="3179.8"/>
    <x v="3"/>
  </r>
  <r>
    <n v="1221"/>
    <s v="Amit"/>
    <x v="1"/>
    <x v="2"/>
    <x v="1"/>
    <n v="3"/>
    <n v="49988"/>
    <x v="220"/>
    <n v="149964"/>
    <n v="9997.6"/>
    <x v="0"/>
  </r>
  <r>
    <n v="1222"/>
    <s v="Deepak"/>
    <x v="3"/>
    <x v="3"/>
    <x v="5"/>
    <n v="8"/>
    <n v="16934"/>
    <x v="221"/>
    <n v="135472"/>
    <n v="3386.8"/>
    <x v="1"/>
  </r>
  <r>
    <n v="1223"/>
    <s v="Deepak"/>
    <x v="2"/>
    <x v="3"/>
    <x v="0"/>
    <n v="7"/>
    <n v="39197"/>
    <x v="222"/>
    <n v="274379"/>
    <n v="7839.4"/>
    <x v="2"/>
  </r>
  <r>
    <n v="1224"/>
    <s v="Priya"/>
    <x v="0"/>
    <x v="1"/>
    <x v="6"/>
    <n v="8"/>
    <n v="42844"/>
    <x v="223"/>
    <n v="342752"/>
    <n v="8568.7999999999993"/>
    <x v="3"/>
  </r>
  <r>
    <n v="1225"/>
    <s v="Vikas"/>
    <x v="1"/>
    <x v="0"/>
    <x v="7"/>
    <n v="6"/>
    <n v="37332"/>
    <x v="224"/>
    <n v="223992"/>
    <n v="7466.4"/>
    <x v="0"/>
  </r>
  <r>
    <n v="1226"/>
    <s v="Neha"/>
    <x v="1"/>
    <x v="3"/>
    <x v="4"/>
    <n v="9"/>
    <n v="35157"/>
    <x v="225"/>
    <n v="316413"/>
    <n v="7031.4"/>
    <x v="1"/>
  </r>
  <r>
    <n v="1227"/>
    <s v="Ravi"/>
    <x v="1"/>
    <x v="1"/>
    <x v="1"/>
    <n v="5"/>
    <n v="12593"/>
    <x v="226"/>
    <n v="62965"/>
    <n v="2518.6"/>
    <x v="2"/>
  </r>
  <r>
    <n v="1228"/>
    <s v="Vikas"/>
    <x v="3"/>
    <x v="1"/>
    <x v="0"/>
    <n v="3"/>
    <n v="41042"/>
    <x v="227"/>
    <n v="123126"/>
    <n v="8208.4"/>
    <x v="3"/>
  </r>
  <r>
    <n v="1229"/>
    <s v="Neha"/>
    <x v="1"/>
    <x v="0"/>
    <x v="3"/>
    <n v="3"/>
    <n v="18320"/>
    <x v="228"/>
    <n v="54960"/>
    <n v="3664"/>
    <x v="0"/>
  </r>
  <r>
    <n v="1230"/>
    <s v="Deepak"/>
    <x v="1"/>
    <x v="2"/>
    <x v="0"/>
    <n v="1"/>
    <n v="28376"/>
    <x v="229"/>
    <n v="28376"/>
    <n v="5675.2"/>
    <x v="1"/>
  </r>
  <r>
    <n v="1231"/>
    <s v="Sneha"/>
    <x v="1"/>
    <x v="3"/>
    <x v="5"/>
    <n v="8"/>
    <n v="44513"/>
    <x v="230"/>
    <n v="356104"/>
    <n v="8902.6"/>
    <x v="2"/>
  </r>
  <r>
    <n v="1232"/>
    <s v="Amit"/>
    <x v="2"/>
    <x v="0"/>
    <x v="3"/>
    <n v="2"/>
    <n v="15199"/>
    <x v="231"/>
    <n v="30398"/>
    <n v="3039.8"/>
    <x v="3"/>
  </r>
  <r>
    <n v="1233"/>
    <s v="Priya"/>
    <x v="3"/>
    <x v="3"/>
    <x v="5"/>
    <n v="3"/>
    <n v="16876"/>
    <x v="232"/>
    <n v="50628"/>
    <n v="3375.2"/>
    <x v="0"/>
  </r>
  <r>
    <n v="1234"/>
    <s v="Amit"/>
    <x v="1"/>
    <x v="1"/>
    <x v="7"/>
    <n v="8"/>
    <n v="9245"/>
    <x v="233"/>
    <n v="73960"/>
    <n v="1849"/>
    <x v="1"/>
  </r>
  <r>
    <n v="1235"/>
    <s v="Karan"/>
    <x v="0"/>
    <x v="1"/>
    <x v="4"/>
    <n v="8"/>
    <n v="8214"/>
    <x v="234"/>
    <n v="65712"/>
    <n v="1642.8"/>
    <x v="2"/>
  </r>
  <r>
    <n v="1236"/>
    <s v="Karan"/>
    <x v="0"/>
    <x v="2"/>
    <x v="7"/>
    <n v="4"/>
    <n v="1726"/>
    <x v="235"/>
    <n v="6904"/>
    <n v="345.2"/>
    <x v="3"/>
  </r>
  <r>
    <n v="1237"/>
    <s v="Vikas"/>
    <x v="0"/>
    <x v="1"/>
    <x v="6"/>
    <n v="4"/>
    <n v="47600"/>
    <x v="236"/>
    <n v="190400"/>
    <n v="9520"/>
    <x v="0"/>
  </r>
  <r>
    <n v="1238"/>
    <s v="Deepak"/>
    <x v="3"/>
    <x v="1"/>
    <x v="6"/>
    <n v="5"/>
    <n v="12362"/>
    <x v="237"/>
    <n v="61810"/>
    <n v="2472.4"/>
    <x v="1"/>
  </r>
  <r>
    <n v="1239"/>
    <s v="Deepak"/>
    <x v="3"/>
    <x v="0"/>
    <x v="7"/>
    <n v="6"/>
    <n v="19297"/>
    <x v="238"/>
    <n v="115782"/>
    <n v="3859.4"/>
    <x v="2"/>
  </r>
  <r>
    <n v="1240"/>
    <s v="Ravi"/>
    <x v="0"/>
    <x v="3"/>
    <x v="4"/>
    <n v="5"/>
    <n v="31448"/>
    <x v="239"/>
    <n v="157240"/>
    <n v="6289.6"/>
    <x v="3"/>
  </r>
  <r>
    <n v="1241"/>
    <s v="Ravi"/>
    <x v="1"/>
    <x v="3"/>
    <x v="7"/>
    <n v="7"/>
    <n v="27172"/>
    <x v="240"/>
    <n v="190204"/>
    <n v="5434.4"/>
    <x v="0"/>
  </r>
  <r>
    <n v="1242"/>
    <s v="Ravi"/>
    <x v="3"/>
    <x v="0"/>
    <x v="4"/>
    <n v="2"/>
    <n v="43874"/>
    <x v="241"/>
    <n v="87748"/>
    <n v="8774.7999999999993"/>
    <x v="1"/>
  </r>
  <r>
    <n v="1243"/>
    <s v="Sneha"/>
    <x v="0"/>
    <x v="2"/>
    <x v="4"/>
    <n v="7"/>
    <n v="8657"/>
    <x v="242"/>
    <n v="60599"/>
    <n v="1731.4"/>
    <x v="2"/>
  </r>
  <r>
    <n v="1244"/>
    <s v="Anita"/>
    <x v="0"/>
    <x v="3"/>
    <x v="2"/>
    <n v="7"/>
    <n v="19850"/>
    <x v="243"/>
    <n v="138950"/>
    <n v="3970"/>
    <x v="3"/>
  </r>
  <r>
    <n v="1245"/>
    <s v="Pooja"/>
    <x v="1"/>
    <x v="1"/>
    <x v="3"/>
    <n v="1"/>
    <n v="26425"/>
    <x v="244"/>
    <n v="26425"/>
    <n v="5285"/>
    <x v="0"/>
  </r>
  <r>
    <n v="1246"/>
    <s v="Anita"/>
    <x v="2"/>
    <x v="3"/>
    <x v="1"/>
    <n v="7"/>
    <n v="27685"/>
    <x v="245"/>
    <n v="193795"/>
    <n v="5537"/>
    <x v="1"/>
  </r>
  <r>
    <n v="1247"/>
    <s v="Amit"/>
    <x v="3"/>
    <x v="1"/>
    <x v="4"/>
    <n v="5"/>
    <n v="48319"/>
    <x v="246"/>
    <n v="241595"/>
    <n v="9663.7999999999993"/>
    <x v="2"/>
  </r>
  <r>
    <n v="1248"/>
    <s v="Anita"/>
    <x v="1"/>
    <x v="2"/>
    <x v="5"/>
    <n v="3"/>
    <n v="25578"/>
    <x v="247"/>
    <n v="76734"/>
    <n v="5115.6000000000004"/>
    <x v="3"/>
  </r>
  <r>
    <n v="1249"/>
    <s v="Sneha"/>
    <x v="0"/>
    <x v="0"/>
    <x v="4"/>
    <n v="3"/>
    <n v="29831"/>
    <x v="248"/>
    <n v="89493"/>
    <n v="5966.2"/>
    <x v="0"/>
  </r>
  <r>
    <n v="1250"/>
    <s v="Amit"/>
    <x v="0"/>
    <x v="3"/>
    <x v="4"/>
    <n v="4"/>
    <n v="8906"/>
    <x v="249"/>
    <n v="35624"/>
    <n v="1781.2"/>
    <x v="1"/>
  </r>
  <r>
    <n v="1251"/>
    <s v="Anita"/>
    <x v="1"/>
    <x v="0"/>
    <x v="4"/>
    <n v="2"/>
    <n v="8287"/>
    <x v="250"/>
    <n v="16574"/>
    <n v="1657.4"/>
    <x v="2"/>
  </r>
  <r>
    <n v="1252"/>
    <s v="Sneha"/>
    <x v="3"/>
    <x v="3"/>
    <x v="2"/>
    <n v="2"/>
    <n v="34660"/>
    <x v="251"/>
    <n v="69320"/>
    <n v="6932"/>
    <x v="3"/>
  </r>
  <r>
    <n v="1253"/>
    <s v="Pooja"/>
    <x v="2"/>
    <x v="1"/>
    <x v="3"/>
    <n v="1"/>
    <n v="11222"/>
    <x v="252"/>
    <n v="11222"/>
    <n v="2244.4"/>
    <x v="0"/>
  </r>
  <r>
    <n v="1254"/>
    <s v="Anita"/>
    <x v="2"/>
    <x v="0"/>
    <x v="2"/>
    <n v="5"/>
    <n v="38443"/>
    <x v="253"/>
    <n v="192215"/>
    <n v="7688.6"/>
    <x v="1"/>
  </r>
  <r>
    <n v="1255"/>
    <s v="Sneha"/>
    <x v="0"/>
    <x v="3"/>
    <x v="6"/>
    <n v="4"/>
    <n v="35701"/>
    <x v="254"/>
    <n v="142804"/>
    <n v="7140.2"/>
    <x v="2"/>
  </r>
  <r>
    <n v="1256"/>
    <s v="Ravi"/>
    <x v="3"/>
    <x v="1"/>
    <x v="2"/>
    <n v="2"/>
    <n v="18764"/>
    <x v="255"/>
    <n v="37528"/>
    <n v="3752.8"/>
    <x v="3"/>
  </r>
  <r>
    <n v="1257"/>
    <s v="Deepak"/>
    <x v="2"/>
    <x v="0"/>
    <x v="5"/>
    <n v="3"/>
    <n v="45641"/>
    <x v="256"/>
    <n v="136923"/>
    <n v="9128.2000000000007"/>
    <x v="0"/>
  </r>
  <r>
    <n v="1258"/>
    <s v="Ravi"/>
    <x v="3"/>
    <x v="0"/>
    <x v="5"/>
    <n v="7"/>
    <n v="18674"/>
    <x v="257"/>
    <n v="130718"/>
    <n v="3734.8"/>
    <x v="1"/>
  </r>
  <r>
    <n v="1259"/>
    <s v="Deepak"/>
    <x v="3"/>
    <x v="3"/>
    <x v="2"/>
    <n v="7"/>
    <n v="19024"/>
    <x v="258"/>
    <n v="133168"/>
    <n v="3804.8"/>
    <x v="2"/>
  </r>
  <r>
    <n v="1260"/>
    <s v="Priya"/>
    <x v="0"/>
    <x v="3"/>
    <x v="3"/>
    <n v="4"/>
    <n v="47007"/>
    <x v="259"/>
    <n v="188028"/>
    <n v="9401.4"/>
    <x v="3"/>
  </r>
  <r>
    <n v="1261"/>
    <s v="Priya"/>
    <x v="2"/>
    <x v="3"/>
    <x v="7"/>
    <n v="5"/>
    <n v="24874"/>
    <x v="260"/>
    <n v="124370"/>
    <n v="4974.8"/>
    <x v="0"/>
  </r>
  <r>
    <n v="1262"/>
    <s v="Priya"/>
    <x v="1"/>
    <x v="1"/>
    <x v="1"/>
    <n v="5"/>
    <n v="44642"/>
    <x v="261"/>
    <n v="223210"/>
    <n v="8928.4"/>
    <x v="1"/>
  </r>
  <r>
    <n v="1263"/>
    <s v="Pooja"/>
    <x v="0"/>
    <x v="3"/>
    <x v="3"/>
    <n v="6"/>
    <n v="33284"/>
    <x v="262"/>
    <n v="199704"/>
    <n v="6656.8"/>
    <x v="2"/>
  </r>
  <r>
    <n v="1264"/>
    <s v="Ravi"/>
    <x v="2"/>
    <x v="0"/>
    <x v="2"/>
    <n v="9"/>
    <n v="18602"/>
    <x v="263"/>
    <n v="167418"/>
    <n v="3720.4"/>
    <x v="3"/>
  </r>
  <r>
    <n v="1265"/>
    <s v="Deepak"/>
    <x v="2"/>
    <x v="0"/>
    <x v="4"/>
    <n v="2"/>
    <n v="38784"/>
    <x v="264"/>
    <n v="77568"/>
    <n v="7756.8"/>
    <x v="0"/>
  </r>
  <r>
    <n v="1266"/>
    <s v="Sneha"/>
    <x v="2"/>
    <x v="3"/>
    <x v="0"/>
    <n v="5"/>
    <n v="24265"/>
    <x v="265"/>
    <n v="121325"/>
    <n v="4853"/>
    <x v="1"/>
  </r>
  <r>
    <n v="1267"/>
    <s v="Amit"/>
    <x v="2"/>
    <x v="3"/>
    <x v="1"/>
    <n v="3"/>
    <n v="26931"/>
    <x v="266"/>
    <n v="80793"/>
    <n v="5386.2"/>
    <x v="2"/>
  </r>
  <r>
    <n v="1268"/>
    <s v="Sneha"/>
    <x v="2"/>
    <x v="2"/>
    <x v="1"/>
    <n v="4"/>
    <n v="29841"/>
    <x v="267"/>
    <n v="119364"/>
    <n v="5968.2"/>
    <x v="3"/>
  </r>
  <r>
    <n v="1269"/>
    <s v="Amit"/>
    <x v="3"/>
    <x v="0"/>
    <x v="5"/>
    <n v="6"/>
    <n v="30192"/>
    <x v="268"/>
    <n v="181152"/>
    <n v="6038.4"/>
    <x v="0"/>
  </r>
  <r>
    <n v="1270"/>
    <s v="Karan"/>
    <x v="0"/>
    <x v="1"/>
    <x v="1"/>
    <n v="8"/>
    <n v="47542"/>
    <x v="269"/>
    <n v="380336"/>
    <n v="9508.4"/>
    <x v="1"/>
  </r>
  <r>
    <n v="1271"/>
    <s v="Sneha"/>
    <x v="3"/>
    <x v="2"/>
    <x v="2"/>
    <n v="1"/>
    <n v="43520"/>
    <x v="270"/>
    <n v="43520"/>
    <n v="8704"/>
    <x v="2"/>
  </r>
  <r>
    <n v="1272"/>
    <s v="Anita"/>
    <x v="1"/>
    <x v="3"/>
    <x v="4"/>
    <n v="8"/>
    <n v="16585"/>
    <x v="271"/>
    <n v="132680"/>
    <n v="3317"/>
    <x v="3"/>
  </r>
  <r>
    <n v="1273"/>
    <s v="Anita"/>
    <x v="2"/>
    <x v="3"/>
    <x v="4"/>
    <n v="7"/>
    <n v="26559"/>
    <x v="272"/>
    <n v="185913"/>
    <n v="5311.8"/>
    <x v="0"/>
  </r>
  <r>
    <n v="1274"/>
    <s v="Vikas"/>
    <x v="0"/>
    <x v="0"/>
    <x v="6"/>
    <n v="1"/>
    <n v="41059"/>
    <x v="273"/>
    <n v="41059"/>
    <n v="8211.7999999999993"/>
    <x v="1"/>
  </r>
  <r>
    <n v="1275"/>
    <s v="Ravi"/>
    <x v="2"/>
    <x v="3"/>
    <x v="4"/>
    <n v="2"/>
    <n v="34742"/>
    <x v="274"/>
    <n v="69484"/>
    <n v="6948.4"/>
    <x v="2"/>
  </r>
  <r>
    <n v="1276"/>
    <s v="Amit"/>
    <x v="0"/>
    <x v="1"/>
    <x v="3"/>
    <n v="3"/>
    <n v="5133"/>
    <x v="275"/>
    <n v="15399"/>
    <n v="1026.5999999999999"/>
    <x v="3"/>
  </r>
  <r>
    <n v="1277"/>
    <s v="Amit"/>
    <x v="3"/>
    <x v="0"/>
    <x v="4"/>
    <n v="1"/>
    <n v="15663"/>
    <x v="276"/>
    <n v="15663"/>
    <n v="3132.6"/>
    <x v="0"/>
  </r>
  <r>
    <n v="1278"/>
    <s v="Ravi"/>
    <x v="0"/>
    <x v="3"/>
    <x v="5"/>
    <n v="9"/>
    <n v="22754"/>
    <x v="277"/>
    <n v="204786"/>
    <n v="4550.8"/>
    <x v="1"/>
  </r>
  <r>
    <n v="1279"/>
    <s v="Pooja"/>
    <x v="1"/>
    <x v="0"/>
    <x v="4"/>
    <n v="8"/>
    <n v="4972"/>
    <x v="278"/>
    <n v="39776"/>
    <n v="994.4"/>
    <x v="2"/>
  </r>
  <r>
    <n v="1280"/>
    <s v="Vikas"/>
    <x v="1"/>
    <x v="3"/>
    <x v="6"/>
    <n v="2"/>
    <n v="6295"/>
    <x v="279"/>
    <n v="12590"/>
    <n v="1259"/>
    <x v="3"/>
  </r>
  <r>
    <n v="1281"/>
    <s v="Pooja"/>
    <x v="0"/>
    <x v="3"/>
    <x v="0"/>
    <n v="9"/>
    <n v="47681"/>
    <x v="280"/>
    <n v="429129"/>
    <n v="9536.2000000000007"/>
    <x v="0"/>
  </r>
  <r>
    <n v="1282"/>
    <s v="Pooja"/>
    <x v="0"/>
    <x v="3"/>
    <x v="2"/>
    <n v="7"/>
    <n v="42873"/>
    <x v="281"/>
    <n v="300111"/>
    <n v="8574.6"/>
    <x v="1"/>
  </r>
  <r>
    <n v="1283"/>
    <s v="Pooja"/>
    <x v="0"/>
    <x v="1"/>
    <x v="5"/>
    <n v="9"/>
    <n v="30125"/>
    <x v="282"/>
    <n v="271125"/>
    <n v="6025"/>
    <x v="2"/>
  </r>
  <r>
    <n v="1284"/>
    <s v="Ravi"/>
    <x v="0"/>
    <x v="1"/>
    <x v="3"/>
    <n v="6"/>
    <n v="41996"/>
    <x v="283"/>
    <n v="251976"/>
    <n v="8399.2000000000007"/>
    <x v="3"/>
  </r>
  <r>
    <n v="1285"/>
    <s v="Pooja"/>
    <x v="1"/>
    <x v="0"/>
    <x v="0"/>
    <n v="6"/>
    <n v="10903"/>
    <x v="284"/>
    <n v="65418"/>
    <n v="2180.6"/>
    <x v="0"/>
  </r>
  <r>
    <n v="1286"/>
    <s v="Anita"/>
    <x v="2"/>
    <x v="3"/>
    <x v="5"/>
    <n v="4"/>
    <n v="4020"/>
    <x v="285"/>
    <n v="16080"/>
    <n v="804"/>
    <x v="1"/>
  </r>
  <r>
    <n v="1287"/>
    <s v="Priya"/>
    <x v="0"/>
    <x v="3"/>
    <x v="7"/>
    <n v="2"/>
    <n v="42755"/>
    <x v="286"/>
    <n v="85510"/>
    <n v="8551"/>
    <x v="2"/>
  </r>
  <r>
    <n v="1288"/>
    <s v="Karan"/>
    <x v="0"/>
    <x v="1"/>
    <x v="1"/>
    <n v="7"/>
    <n v="21420"/>
    <x v="287"/>
    <n v="149940"/>
    <n v="4284"/>
    <x v="3"/>
  </r>
  <r>
    <n v="1289"/>
    <s v="Amit"/>
    <x v="1"/>
    <x v="3"/>
    <x v="7"/>
    <n v="5"/>
    <n v="22452"/>
    <x v="288"/>
    <n v="112260"/>
    <n v="4490.3999999999996"/>
    <x v="0"/>
  </r>
  <r>
    <n v="1290"/>
    <s v="Amit"/>
    <x v="1"/>
    <x v="1"/>
    <x v="4"/>
    <n v="6"/>
    <n v="46648"/>
    <x v="289"/>
    <n v="279888"/>
    <n v="9329.6"/>
    <x v="1"/>
  </r>
  <r>
    <n v="1291"/>
    <s v="Karan"/>
    <x v="3"/>
    <x v="3"/>
    <x v="0"/>
    <n v="2"/>
    <n v="39001"/>
    <x v="290"/>
    <n v="78002"/>
    <n v="7800.2"/>
    <x v="2"/>
  </r>
  <r>
    <n v="1292"/>
    <s v="Ravi"/>
    <x v="0"/>
    <x v="0"/>
    <x v="4"/>
    <n v="5"/>
    <n v="10516"/>
    <x v="291"/>
    <n v="52580"/>
    <n v="2103.1999999999998"/>
    <x v="3"/>
  </r>
  <r>
    <n v="1293"/>
    <s v="Sneha"/>
    <x v="3"/>
    <x v="3"/>
    <x v="1"/>
    <n v="4"/>
    <n v="48327"/>
    <x v="292"/>
    <n v="193308"/>
    <n v="9665.4"/>
    <x v="0"/>
  </r>
  <r>
    <n v="1294"/>
    <s v="Ravi"/>
    <x v="1"/>
    <x v="3"/>
    <x v="5"/>
    <n v="9"/>
    <n v="3396"/>
    <x v="293"/>
    <n v="30564"/>
    <n v="679.2"/>
    <x v="1"/>
  </r>
  <r>
    <n v="1295"/>
    <s v="Amit"/>
    <x v="1"/>
    <x v="2"/>
    <x v="1"/>
    <n v="6"/>
    <n v="19546"/>
    <x v="294"/>
    <n v="117276"/>
    <n v="3909.2"/>
    <x v="2"/>
  </r>
  <r>
    <n v="1296"/>
    <s v="Amit"/>
    <x v="2"/>
    <x v="1"/>
    <x v="6"/>
    <n v="2"/>
    <n v="20129"/>
    <x v="295"/>
    <n v="40258"/>
    <n v="4025.8"/>
    <x v="3"/>
  </r>
  <r>
    <n v="1297"/>
    <s v="Karan"/>
    <x v="0"/>
    <x v="3"/>
    <x v="1"/>
    <n v="1"/>
    <n v="2591"/>
    <x v="296"/>
    <n v="2591"/>
    <n v="518.20000000000005"/>
    <x v="0"/>
  </r>
  <r>
    <n v="1298"/>
    <s v="Pooja"/>
    <x v="3"/>
    <x v="3"/>
    <x v="6"/>
    <n v="5"/>
    <n v="12303"/>
    <x v="297"/>
    <n v="61515"/>
    <n v="2460.6"/>
    <x v="1"/>
  </r>
  <r>
    <n v="1299"/>
    <s v="Ravi"/>
    <x v="1"/>
    <x v="2"/>
    <x v="1"/>
    <n v="9"/>
    <n v="31561"/>
    <x v="298"/>
    <n v="284049"/>
    <n v="6312.2"/>
    <x v="2"/>
  </r>
  <r>
    <n v="1300"/>
    <s v="Deepak"/>
    <x v="1"/>
    <x v="2"/>
    <x v="2"/>
    <n v="6"/>
    <n v="7183"/>
    <x v="299"/>
    <n v="43098"/>
    <n v="1436.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BD490-5E7D-4054-9FC2-E31378E076A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8:S29"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pivotField dataField="1"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Fields count="1">
    <field x="-2"/>
  </colFields>
  <colItems count="2">
    <i>
      <x/>
    </i>
    <i i="1">
      <x v="1"/>
    </i>
  </colItems>
  <dataFields count="2">
    <dataField name="Sum of Quantity" fld="5" baseField="0" baseItem="0"/>
    <dataField name="Sum of Sales" fld="6" baseField="0" baseItem="0"/>
  </dataFields>
  <formats count="6">
    <format dxfId="29">
      <pivotArea type="all" dataOnly="0" outline="0" fieldPosition="0"/>
    </format>
    <format dxfId="30">
      <pivotArea outline="0" collapsedLevelsAreSubtotals="1" fieldPosition="0"/>
    </format>
    <format dxfId="31">
      <pivotArea field="10" type="button" dataOnly="0" labelOnly="1" outline="0" axis="axisRow" fieldPosition="0"/>
    </format>
    <format dxfId="32">
      <pivotArea dataOnly="0" labelOnly="1" fieldPosition="0">
        <references count="1">
          <reference field="10" count="10">
            <x v="1"/>
            <x v="2"/>
            <x v="3"/>
            <x v="4"/>
            <x v="5"/>
            <x v="6"/>
            <x v="7"/>
            <x v="8"/>
            <x v="9"/>
            <x v="10"/>
          </reference>
        </references>
      </pivotArea>
    </format>
    <format dxfId="33">
      <pivotArea dataOnly="0" labelOnly="1" grandRow="1" outline="0" fieldPosition="0"/>
    </format>
    <format dxfId="34">
      <pivotArea dataOnly="0" labelOnly="1" outline="0" fieldPosition="0">
        <references count="1">
          <reference field="4294967294" count="2">
            <x v="0"/>
            <x v="1"/>
          </reference>
        </references>
      </pivotArea>
    </format>
  </format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0" count="1" selected="0">
            <x v="10"/>
          </reference>
        </references>
      </pivotArea>
    </chartFormat>
    <chartFormat chart="2" format="7">
      <pivotArea type="data" outline="0" fieldPosition="0">
        <references count="2">
          <reference field="4294967294" count="1" selected="0">
            <x v="1"/>
          </reference>
          <reference field="10" count="1" selected="0">
            <x v="8"/>
          </reference>
        </references>
      </pivotArea>
    </chartFormat>
    <chartFormat chart="2" format="8">
      <pivotArea type="data" outline="0" fieldPosition="0">
        <references count="2">
          <reference field="4294967294" count="1" selected="0">
            <x v="1"/>
          </reference>
          <reference field="10" count="1" selected="0">
            <x v="9"/>
          </reference>
        </references>
      </pivotArea>
    </chartFormat>
    <chartFormat chart="2" format="9">
      <pivotArea type="data" outline="0" fieldPosition="0">
        <references count="2">
          <reference field="4294967294" count="1" selected="0">
            <x v="1"/>
          </reference>
          <reference field="10" count="1" selected="0">
            <x v="7"/>
          </reference>
        </references>
      </pivotArea>
    </chartFormat>
    <chartFormat chart="2" format="10">
      <pivotArea type="data" outline="0" fieldPosition="0">
        <references count="2">
          <reference field="4294967294" count="1" selected="0">
            <x v="1"/>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559B23-6661-492D-A5A9-73413572012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F31CD-96C6-4F6A-8FCC-9A07730E53E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T15" firstHeaderRow="0"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dataField="1"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4">
    <i>
      <x/>
    </i>
    <i i="1">
      <x v="1"/>
    </i>
    <i i="2">
      <x v="2"/>
    </i>
    <i i="3">
      <x v="3"/>
    </i>
  </colItems>
  <dataFields count="4">
    <dataField name="Sum of Quantity" fld="5" baseField="0" baseItem="0"/>
    <dataField name="Sum of Profit" fld="9" baseField="0" baseItem="0"/>
    <dataField name="Sum of Sales" fld="6" baseField="0" baseItem="0"/>
    <dataField name="Sum of Total" fld="8" baseField="0" baseItem="0"/>
  </dataFields>
  <formats count="6">
    <format dxfId="35">
      <pivotArea type="all" dataOnly="0" outline="0" fieldPosition="0"/>
    </format>
    <format dxfId="36">
      <pivotArea outline="0" collapsedLevelsAreSubtotals="1" fieldPosition="0"/>
    </format>
    <format dxfId="37">
      <pivotArea field="3" type="button" dataOnly="0" labelOnly="1" outline="0" axis="axisRow" fieldPosition="0"/>
    </format>
    <format dxfId="38">
      <pivotArea dataOnly="0" labelOnly="1" fieldPosition="0">
        <references count="1">
          <reference field="3" count="0"/>
        </references>
      </pivotArea>
    </format>
    <format dxfId="39">
      <pivotArea dataOnly="0" labelOnly="1" grandRow="1" outline="0" fieldPosition="0"/>
    </format>
    <format dxfId="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9AEA1F-9E91-4834-9CDA-10C50D4C853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N15"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5" baseField="0" baseItem="0"/>
  </dataFields>
  <formats count="6">
    <format dxfId="0">
      <pivotArea type="all" dataOnly="0" outline="0" fieldPosition="0"/>
    </format>
    <format dxfId="1">
      <pivotArea outline="0" collapsedLevelsAreSubtotals="1" fieldPosition="0"/>
    </format>
    <format dxfId="2">
      <pivotArea field="3" type="button" dataOnly="0" labelOnly="1" outline="0" axis="axisRow" fieldPosition="0"/>
    </format>
    <format dxfId="3">
      <pivotArea dataOnly="0" labelOnly="1" fieldPosition="0">
        <references count="1">
          <reference field="3"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492A14-A57D-44AE-A4E5-5826C5E8E6D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O26"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Quantity" fld="5" baseField="0" baseItem="0"/>
    <dataField name="Sum of Profit" fld="9" baseField="0" baseItem="0"/>
  </dataFields>
  <formats count="6">
    <format dxfId="41">
      <pivotArea type="all" dataOnly="0" outline="0" fieldPosition="0"/>
    </format>
    <format dxfId="42">
      <pivotArea outline="0" collapsedLevelsAreSubtotals="1" fieldPosition="0"/>
    </format>
    <format dxfId="43">
      <pivotArea field="4" type="button" dataOnly="0" labelOnly="1" outline="0" axis="axisRow" fieldPosition="0"/>
    </format>
    <format dxfId="44">
      <pivotArea dataOnly="0" labelOnly="1" fieldPosition="0">
        <references count="1">
          <reference field="4" count="0"/>
        </references>
      </pivotArea>
    </format>
    <format dxfId="45">
      <pivotArea dataOnly="0" labelOnly="1" grandRow="1" outline="0" fieldPosition="0"/>
    </format>
    <format dxfId="4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FA4F0-6FFA-4485-B839-48BD2450056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8:K33" firstHeaderRow="0"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Sum of Sales" fld="6" baseField="0" baseItem="0"/>
    <dataField name="Sum of Profit" fld="9" baseField="0" baseItem="0"/>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2" count="1" selected="0">
            <x v="0"/>
          </reference>
        </references>
      </pivotArea>
    </chartFormat>
    <chartFormat chart="3" format="19">
      <pivotArea type="data" outline="0" fieldPosition="0">
        <references count="2">
          <reference field="4294967294" count="1" selected="0">
            <x v="1"/>
          </reference>
          <reference field="2" count="1" selected="0">
            <x v="1"/>
          </reference>
        </references>
      </pivotArea>
    </chartFormat>
    <chartFormat chart="3" format="20">
      <pivotArea type="data" outline="0" fieldPosition="0">
        <references count="2">
          <reference field="4294967294" count="1" selected="0">
            <x v="1"/>
          </reference>
          <reference field="2" count="1" selected="0">
            <x v="2"/>
          </reference>
        </references>
      </pivotArea>
    </chartFormat>
    <chartFormat chart="3" format="2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AABA5-9FC6-44CE-8F7D-9211FFD2893A}"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8:N33"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formats count="6">
    <format dxfId="23">
      <pivotArea type="all" dataOnly="0" outline="0" fieldPosition="0"/>
    </format>
    <format dxfId="24">
      <pivotArea outline="0" collapsedLevelsAreSubtotals="1" fieldPosition="0"/>
    </format>
    <format dxfId="25">
      <pivotArea field="2" type="button" dataOnly="0" labelOnly="1" outline="0" axis="axisRow" fieldPosition="0"/>
    </format>
    <format dxfId="26">
      <pivotArea dataOnly="0" labelOnly="1" fieldPosition="0">
        <references count="1">
          <reference field="2" count="0"/>
        </references>
      </pivotArea>
    </format>
    <format dxfId="27">
      <pivotArea dataOnly="0" labelOnly="1" grandRow="1" outline="0" fieldPosition="0"/>
    </format>
    <format dxfId="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BE0468-5364-4685-867E-1B265038AC3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K24" firstHeaderRow="0" firstDataRow="1" firstDataCol="1"/>
  <pivotFields count="11">
    <pivotField showAll="0"/>
    <pivotField showAll="0"/>
    <pivotField axis="axisRow"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2">
    <field x="3"/>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Total" fld="8" baseField="0" baseItem="0"/>
    <dataField name="Sum of Sales" fld="6" baseField="0" baseItem="0"/>
  </dataFields>
  <chartFormats count="4">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23E93B-CDFC-4645-A1D1-E930359D04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formats count="6">
    <format dxfId="47">
      <pivotArea type="all" dataOnly="0" outline="0" fieldPosition="0"/>
    </format>
    <format dxfId="48">
      <pivotArea outline="0" collapsedLevelsAreSubtotals="1" fieldPosition="0"/>
    </format>
    <format dxfId="49">
      <pivotArea field="2" type="button" dataOnly="0" labelOnly="1" outline="0" axis="axisRow" fieldPosition="0"/>
    </format>
    <format dxfId="50">
      <pivotArea dataOnly="0" labelOnly="1" fieldPosition="0">
        <references count="1">
          <reference field="2" count="0"/>
        </references>
      </pivotArea>
    </format>
    <format dxfId="51">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1C0009-4F26-40D4-8E84-2CECBAD1D5A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9:F20" firstHeaderRow="0" firstDataRow="1" firstDataCol="0"/>
  <pivotFields count="11">
    <pivotField showAll="0"/>
    <pivotField showAll="0"/>
    <pivotField showAll="0">
      <items count="5">
        <item x="3"/>
        <item x="0"/>
        <item x="2"/>
        <item x="1"/>
        <item t="default"/>
      </items>
    </pivotField>
    <pivotField showAll="0">
      <items count="5">
        <item x="0"/>
        <item x="1"/>
        <item x="3"/>
        <item x="2"/>
        <item t="default"/>
      </items>
    </pivotField>
    <pivotField showAll="0" sortType="ascending">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Profit" fld="9" baseField="0" baseItem="0"/>
    <dataField name="Sum of Sales" fld="6" baseField="0" baseItem="0"/>
  </dataFields>
  <formats count="5">
    <format dxfId="6">
      <pivotArea type="all" dataOnly="0" outline="0" fieldPosition="0"/>
    </format>
    <format dxfId="7">
      <pivotArea outline="0" collapsedLevelsAreSubtotals="1" fieldPosition="0"/>
    </format>
    <format dxfId="8">
      <pivotArea field="4" type="button" dataOnly="0" labelOnly="1" outline="0"/>
    </format>
    <format dxfId="9">
      <pivotArea dataOnly="0" labelOnly="1" grandRow="1" outline="0" fieldPosition="0"/>
    </format>
    <format dxfId="10">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D03110-F29A-4744-A59B-6EAA481743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C27" firstHeaderRow="0"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Total" fld="8" baseField="0" baseItem="0"/>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33641A-33F9-4D83-9AFA-85B2A87B9F0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8" firstHeaderRow="0"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Total" fld="8" baseField="0" baseItem="0"/>
    <dataField name="Sum of Sales" fld="6" baseField="0" baseItem="0"/>
  </dataFields>
  <formats count="6">
    <format dxfId="17">
      <pivotArea type="all" dataOnly="0" outline="0" fieldPosition="0"/>
    </format>
    <format dxfId="18">
      <pivotArea outline="0" collapsedLevelsAreSubtotals="1" fieldPosition="0"/>
    </format>
    <format dxfId="19">
      <pivotArea field="2" type="button" dataOnly="0" labelOnly="1" outline="0" axis="axisRow" fieldPosition="0"/>
    </format>
    <format dxfId="20">
      <pivotArea dataOnly="0" labelOnly="1" fieldPosition="0">
        <references count="1">
          <reference field="2" count="0"/>
        </references>
      </pivotArea>
    </format>
    <format dxfId="21">
      <pivotArea dataOnly="0" labelOnly="1" grandRow="1" outline="0" fieldPosition="0"/>
    </format>
    <format dxfId="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1B29E1-F4F7-4E8B-BA27-08C26AFB13E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Q8"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Profit" fld="9"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0ADE7F-6944-4742-B0B3-1C734F8540D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2:F17"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rofit" fld="9" baseField="0" baseItem="0"/>
  </dataFields>
  <formats count="6">
    <format dxfId="11">
      <pivotArea type="all" dataOnly="0" outline="0" fieldPosition="0"/>
    </format>
    <format dxfId="12">
      <pivotArea outline="0" collapsedLevelsAreSubtotals="1" fieldPosition="0"/>
    </format>
    <format dxfId="13">
      <pivotArea field="3" type="button" dataOnly="0" labelOnly="1" outline="0" axis="axisRow" fieldPosition="0"/>
    </format>
    <format dxfId="14">
      <pivotArea dataOnly="0" labelOnly="1" fieldPosition="0">
        <references count="1">
          <reference field="3" count="0"/>
        </references>
      </pivotArea>
    </format>
    <format dxfId="15">
      <pivotArea dataOnly="0" labelOnly="1" grandRow="1" outline="0" fieldPosition="0"/>
    </format>
    <format dxfId="16">
      <pivotArea dataOnly="0" labelOnly="1" outline="0" axis="axisValues"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FE663A-713A-4E76-ABC7-95A1253396B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Total" fld="8" baseField="0" baseItem="0"/>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97E2DA-EDB2-4A58-B1A9-C717B8C0B16E}"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7:P28" firstHeaderRow="0" firstDataRow="1" firstDataCol="1"/>
  <pivotFields count="12">
    <pivotField showAll="0"/>
    <pivotField showAll="0"/>
    <pivotField showAll="0">
      <items count="5">
        <item x="3"/>
        <item x="0"/>
        <item x="2"/>
        <item x="1"/>
        <item t="default"/>
      </items>
    </pivotField>
    <pivotField showAll="0"/>
    <pivotField showAll="0">
      <items count="9">
        <item x="3"/>
        <item x="2"/>
        <item x="5"/>
        <item x="7"/>
        <item x="6"/>
        <item x="4"/>
        <item x="0"/>
        <item x="1"/>
        <item t="default"/>
      </items>
    </pivotField>
    <pivotField showAll="0"/>
    <pivotField dataField="1" showAll="0"/>
    <pivotField axis="axisRow" numFmtId="14"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5">
        <item x="3"/>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7"/>
  </rowFields>
  <rowItems count="11">
    <i>
      <x v="1"/>
    </i>
    <i>
      <x v="2"/>
    </i>
    <i>
      <x v="3"/>
    </i>
    <i>
      <x v="4"/>
    </i>
    <i>
      <x v="5"/>
    </i>
    <i>
      <x v="6"/>
    </i>
    <i>
      <x v="7"/>
    </i>
    <i>
      <x v="8"/>
    </i>
    <i>
      <x v="9"/>
    </i>
    <i>
      <x v="10"/>
    </i>
    <i t="grand">
      <x/>
    </i>
  </rowItems>
  <colFields count="1">
    <field x="-2"/>
  </colFields>
  <colItems count="2">
    <i>
      <x/>
    </i>
    <i i="1">
      <x v="1"/>
    </i>
  </colItems>
  <dataFields count="2">
    <dataField name="Sum of Sales" fld="6"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2F69CB5-DD87-4991-B50B-1B100BC58A43}"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8:L29" firstHeaderRow="0" firstDataRow="1" firstDataCol="1"/>
  <pivotFields count="12">
    <pivotField showAll="0"/>
    <pivotField showAll="0"/>
    <pivotField showAll="0">
      <items count="5">
        <item x="3"/>
        <item x="0"/>
        <item x="2"/>
        <item x="1"/>
        <item t="default"/>
      </items>
    </pivotField>
    <pivotField showAll="0"/>
    <pivotField showAll="0">
      <items count="9">
        <item x="3"/>
        <item x="2"/>
        <item x="5"/>
        <item x="7"/>
        <item x="6"/>
        <item x="4"/>
        <item x="0"/>
        <item x="1"/>
        <item t="default"/>
      </items>
    </pivotField>
    <pivotField showAll="0"/>
    <pivotField dataField="1" showAll="0"/>
    <pivotField axis="axisRow" numFmtId="14"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3"/>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7"/>
  </rowFields>
  <rowItems count="11">
    <i>
      <x v="1"/>
    </i>
    <i>
      <x v="2"/>
    </i>
    <i>
      <x v="3"/>
    </i>
    <i>
      <x v="4"/>
    </i>
    <i>
      <x v="5"/>
    </i>
    <i>
      <x v="6"/>
    </i>
    <i>
      <x v="7"/>
    </i>
    <i>
      <x v="8"/>
    </i>
    <i>
      <x v="9"/>
    </i>
    <i>
      <x v="10"/>
    </i>
    <i t="grand">
      <x/>
    </i>
  </rowItems>
  <colFields count="1">
    <field x="-2"/>
  </colFields>
  <colItems count="2">
    <i>
      <x/>
    </i>
    <i i="1">
      <x v="1"/>
    </i>
  </colItems>
  <dataFields count="2">
    <dataField name="Sum of Sales" fld="6" baseField="0" baseItem="0"/>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F26415-D823-426A-9CE8-1AEE422AA54C}"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29" firstHeaderRow="1" firstDataRow="1"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AA5EE7-E53B-4104-A14E-E85DAB0F2C1F}"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6" firstHeaderRow="1" firstDataRow="1" firstDataCol="1"/>
  <pivotFields count="12">
    <pivotField showAll="0"/>
    <pivotField showAll="0"/>
    <pivotField showAll="0">
      <items count="5">
        <item x="3"/>
        <item x="0"/>
        <item x="2"/>
        <item x="1"/>
        <item t="default"/>
      </items>
    </pivotField>
    <pivotField showAll="0"/>
    <pivotField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Sale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81854E8-90E2-43B9-9561-469E5771A605}"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L16" firstHeaderRow="0" firstDataRow="1"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Profit" fld="9" baseField="0" baseItem="0"/>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C46D191-C79A-492A-AA8B-753B9ACC0734}" name="PivotTable7" cacheId="8"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P12" firstHeaderRow="0" firstDataRow="1" firstDataCol="1"/>
  <pivotFields count="12">
    <pivotField showAll="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Sum of Profit" fld="9" baseField="4" baseItem="0"/>
    <dataField name="Sum of Sales" fld="6" baseField="0" baseItem="0"/>
  </dataFields>
  <chartFormats count="9">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2">
          <reference field="4294967294" count="1" selected="0">
            <x v="0"/>
          </reference>
          <reference field="4" count="1" selected="0">
            <x v="2"/>
          </reference>
        </references>
      </pivotArea>
    </chartFormat>
    <chartFormat chart="5" format="7" series="1">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2">
          <reference field="4294967294" count="1" selected="0">
            <x v="0"/>
          </reference>
          <reference field="4" count="1" selected="0">
            <x v="4"/>
          </reference>
        </references>
      </pivotArea>
    </chartFormat>
    <chartFormat chart="5" format="9" series="1">
      <pivotArea type="data" outline="0" fieldPosition="0">
        <references count="2">
          <reference field="4294967294" count="1" selected="0">
            <x v="0"/>
          </reference>
          <reference field="4" count="1" selected="0">
            <x v="5"/>
          </reference>
        </references>
      </pivotArea>
    </chartFormat>
    <chartFormat chart="5" format="10" series="1">
      <pivotArea type="data" outline="0" fieldPosition="0">
        <references count="2">
          <reference field="4294967294" count="1" selected="0">
            <x v="0"/>
          </reference>
          <reference field="4" count="1" selected="0">
            <x v="6"/>
          </reference>
        </references>
      </pivotArea>
    </chartFormat>
    <chartFormat chart="5" format="11" series="1">
      <pivotArea type="data" outline="0" fieldPosition="0">
        <references count="2">
          <reference field="4294967294" count="1" selected="0">
            <x v="0"/>
          </reference>
          <reference field="4" count="1" selected="0">
            <x v="7"/>
          </reference>
        </references>
      </pivotArea>
    </chartFormat>
    <chartFormat chart="5" format="12"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F9E5854-116C-4A03-A08B-3C243224289E}"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L9" firstHeaderRow="1" firstDataRow="2"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axis="axisCol"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10"/>
  </colFields>
  <colItems count="5">
    <i>
      <x/>
    </i>
    <i>
      <x v="1"/>
    </i>
    <i>
      <x v="2"/>
    </i>
    <i>
      <x v="3"/>
    </i>
    <i t="grand">
      <x/>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7785ABC-E8AF-4581-B1D3-F36B73523FA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19" firstHeaderRow="1" firstDataRow="1" firstDataCol="1"/>
  <pivotFields count="12">
    <pivotField showAll="0"/>
    <pivotField showAll="0"/>
    <pivotField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Profi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621CA4F-6CF9-4BA4-A782-758807BEA1B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CCC87D2-E06F-4705-8F72-2CC129A6E65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ABCD86B-9165-4ED4-B870-3FB220CCBE6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5" firstHeaderRow="1" firstDataRow="1"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874FA2E-6EA6-401D-BF62-58428F39904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showAll="0"/>
    <pivotField showAll="0"/>
    <pivotField axis="axisRow" showAll="0">
      <items count="5">
        <item x="3"/>
        <item x="0"/>
        <item x="2"/>
        <item x="1"/>
        <item t="default"/>
      </items>
    </pivotField>
    <pivotField showAll="0"/>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4C3E4D-2249-40B9-8F05-66B574BAE2FF}" sourceName="Category">
  <pivotTables>
    <pivotTable tabId="2" name="PivotTable5"/>
    <pivotTable tabId="2" name="PivotTable1"/>
    <pivotTable tabId="2" name="PivotTable10"/>
    <pivotTable tabId="2" name="PivotTable11"/>
    <pivotTable tabId="2" name="PivotTable13"/>
    <pivotTable tabId="2" name="PivotTable16"/>
    <pivotTable tabId="2" name="PivotTable18"/>
    <pivotTable tabId="2" name="PivotTable20"/>
    <pivotTable tabId="2" name="PivotTable3"/>
    <pivotTable tabId="2" name="PivotTable4"/>
    <pivotTable tabId="2" name="PivotTable6"/>
    <pivotTable tabId="2" name="PivotTable7"/>
    <pivotTable tabId="2" name="PivotTable8"/>
    <pivotTable tabId="2" name="PivotTable9"/>
  </pivotTables>
  <data>
    <tabular pivotCacheId="1415409231">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0C72FA-9C8C-402F-950F-4AD8EEB8E229}" sourceName="Region">
  <pivotTables>
    <pivotTable tabId="2" name="PivotTable8"/>
    <pivotTable tabId="2" name="PivotTable1"/>
    <pivotTable tabId="2" name="PivotTable10"/>
    <pivotTable tabId="2" name="PivotTable11"/>
    <pivotTable tabId="2" name="PivotTable13"/>
    <pivotTable tabId="2" name="PivotTable16"/>
    <pivotTable tabId="2" name="PivotTable18"/>
    <pivotTable tabId="2" name="PivotTable2"/>
    <pivotTable tabId="2" name="PivotTable20"/>
    <pivotTable tabId="2" name="PivotTable3"/>
    <pivotTable tabId="2" name="PivotTable4"/>
    <pivotTable tabId="2" name="PivotTable5"/>
    <pivotTable tabId="2" name="PivotTable6"/>
    <pivotTable tabId="2" name="PivotTable7"/>
    <pivotTable tabId="2" name="PivotTable9"/>
  </pivotTables>
  <data>
    <tabular pivotCacheId="141540923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EB44C99-8BE0-4E25-BC75-6D88867448B4}" sourceName="Months">
  <pivotTables>
    <pivotTable tabId="2" name="PivotTable13"/>
    <pivotTable tabId="2" name="PivotTable1"/>
    <pivotTable tabId="2" name="PivotTable10"/>
    <pivotTable tabId="2" name="PivotTable11"/>
    <pivotTable tabId="2" name="PivotTable16"/>
    <pivotTable tabId="2" name="PivotTable18"/>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s>
  <data>
    <tabular pivotCacheId="1415409231">
      <items count="14">
        <i x="1" s="1"/>
        <i x="2" s="1"/>
        <i x="3" s="1"/>
        <i x="4" s="1"/>
        <i x="5" s="1"/>
        <i x="6" s="1"/>
        <i x="7" s="1"/>
        <i x="8" s="1"/>
        <i x="9" s="1"/>
        <i x="10" s="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EF5264-108D-434E-A424-A53C61C8D775}" sourceName="Product">
  <pivotTables>
    <pivotTable tabId="5" name="PivotTable7"/>
    <pivotTable tabId="5" name="PivotTable1"/>
    <pivotTable tabId="5" name="PivotTable10"/>
    <pivotTable tabId="5" name="PivotTable11"/>
    <pivotTable tabId="5" name="PivotTable12"/>
    <pivotTable tabId="5" name="PivotTable2"/>
    <pivotTable tabId="5" name="PivotTable3"/>
    <pivotTable tabId="5" name="PivotTable5"/>
    <pivotTable tabId="5" name="PivotTable6"/>
    <pivotTable tabId="5" name="PivotTable8"/>
    <pivotTable tabId="5" name="PivotTable9"/>
  </pivotTables>
  <data>
    <tabular pivotCacheId="1619899617">
      <items count="8">
        <i x="3" s="1"/>
        <i x="2" s="1"/>
        <i x="5" s="1"/>
        <i x="7" s="1"/>
        <i x="6"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F9614EE-722F-4D45-A811-CBB1D758610C}" sourceName="Channel">
  <pivotTables>
    <pivotTable tabId="5" name="PivotTable12"/>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619899617">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A34DBF0-2CEA-4C62-9FFB-7AD1946CB4C3}" sourceName="Region">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619899617">
      <items count="4">
        <i x="3" s="1"/>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B7EA0FA1-83E8-433C-97E0-950548E2CFC0}" sourceName="Months">
  <pivotTables>
    <pivotTable tabId="5" name="PivotTable12"/>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619899617">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A83ADA-9C6D-4343-8BC1-D7CBE146C7C9}" cache="Slicer_Category" caption="Category" columnCount="2" rowHeight="241300"/>
  <slicer name="Region" xr10:uid="{225FAF86-8BE1-4ED4-80D2-AC9FB75CB7F4}" cache="Slicer_Region" caption="Region" columnCount="2" rowHeight="241300"/>
  <slicer name="Months" xr10:uid="{606779D2-A1ED-49D4-A2D6-509E7260B6A7}" cache="Slicer_Months" caption="Months"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9A67E45-1262-4E69-9AB3-C4824322E8A9}" cache="Slicer_Product" caption="Product" rowHeight="241300"/>
  <slicer name="Channel" xr10:uid="{84D8AC1B-4CCE-4D8C-A5AB-AA179B0EDE52}" cache="Slicer_Channel" caption="Channel" style="SlicerStyleLight5" rowHeight="241300"/>
  <slicer name="Region 1" xr10:uid="{0859AD40-E038-4AD5-A1D3-73A7962E5150}" cache="Slicer_Region1" caption="Region" style="SlicerStyleLight5" rowHeight="241300"/>
  <slicer name="Months 1" xr10:uid="{769F90F0-69DC-46A2-B566-4DAD4D18F77D}" cache="Slicer_Months1" caption="Months"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2"/>
  <sheetViews>
    <sheetView topLeftCell="A250" workbookViewId="0">
      <selection activeCell="P298" sqref="P298"/>
    </sheetView>
  </sheetViews>
  <sheetFormatPr defaultRowHeight="15" x14ac:dyDescent="0.25"/>
  <cols>
    <col min="4" max="4" width="16.5703125" bestFit="1" customWidth="1"/>
    <col min="5" max="5" width="12.140625" bestFit="1" customWidth="1"/>
    <col min="8" max="8" width="10.42578125" bestFit="1" customWidth="1"/>
    <col min="11" max="11" width="12.140625" bestFit="1" customWidth="1"/>
  </cols>
  <sheetData>
    <row r="1" spans="1:11" x14ac:dyDescent="0.25">
      <c r="A1" s="3" t="s">
        <v>0</v>
      </c>
      <c r="B1" s="18" t="s">
        <v>1</v>
      </c>
      <c r="C1" s="3" t="s">
        <v>2</v>
      </c>
      <c r="D1" s="3" t="s">
        <v>3</v>
      </c>
      <c r="E1" s="3" t="s">
        <v>4</v>
      </c>
      <c r="F1" s="3" t="s">
        <v>5</v>
      </c>
      <c r="G1" s="3" t="s">
        <v>6</v>
      </c>
      <c r="H1" s="3" t="s">
        <v>7</v>
      </c>
      <c r="I1" s="3" t="s">
        <v>8</v>
      </c>
      <c r="J1" s="3" t="s">
        <v>9</v>
      </c>
      <c r="K1" s="3" t="s">
        <v>59</v>
      </c>
    </row>
    <row r="2" spans="1:11" x14ac:dyDescent="0.25">
      <c r="A2" s="1">
        <v>1001</v>
      </c>
      <c r="B2" s="1" t="s">
        <v>10</v>
      </c>
      <c r="C2" s="1" t="s">
        <v>11</v>
      </c>
      <c r="D2" s="1" t="s">
        <v>12</v>
      </c>
      <c r="E2" s="1" t="s">
        <v>13</v>
      </c>
      <c r="F2" s="1">
        <v>1</v>
      </c>
      <c r="G2" s="1">
        <v>13875</v>
      </c>
      <c r="H2" s="2">
        <v>44927</v>
      </c>
      <c r="I2" s="1">
        <v>13875</v>
      </c>
      <c r="J2" s="1">
        <v>2775</v>
      </c>
      <c r="K2" s="1" t="s">
        <v>56</v>
      </c>
    </row>
    <row r="3" spans="1:11" x14ac:dyDescent="0.25">
      <c r="A3" s="1">
        <v>1002</v>
      </c>
      <c r="B3" s="1" t="s">
        <v>14</v>
      </c>
      <c r="C3" s="1" t="s">
        <v>15</v>
      </c>
      <c r="D3" s="1" t="s">
        <v>16</v>
      </c>
      <c r="E3" s="1" t="s">
        <v>17</v>
      </c>
      <c r="F3" s="1">
        <v>6</v>
      </c>
      <c r="G3" s="1">
        <v>2622</v>
      </c>
      <c r="H3" s="2">
        <v>44928</v>
      </c>
      <c r="I3" s="1">
        <v>15732</v>
      </c>
      <c r="J3" s="1">
        <v>524.4</v>
      </c>
      <c r="K3" s="1" t="s">
        <v>57</v>
      </c>
    </row>
    <row r="4" spans="1:11" x14ac:dyDescent="0.25">
      <c r="A4" s="1">
        <v>1003</v>
      </c>
      <c r="B4" s="1" t="s">
        <v>18</v>
      </c>
      <c r="C4" s="1" t="s">
        <v>11</v>
      </c>
      <c r="D4" s="1" t="s">
        <v>19</v>
      </c>
      <c r="E4" s="1" t="s">
        <v>20</v>
      </c>
      <c r="F4" s="1">
        <v>5</v>
      </c>
      <c r="G4" s="1">
        <v>49756</v>
      </c>
      <c r="H4" s="2">
        <v>44929</v>
      </c>
      <c r="I4" s="1">
        <v>248780</v>
      </c>
      <c r="J4" s="1">
        <v>9951.2000000000007</v>
      </c>
      <c r="K4" s="1" t="s">
        <v>58</v>
      </c>
    </row>
    <row r="5" spans="1:11" x14ac:dyDescent="0.25">
      <c r="A5" s="1">
        <v>1004</v>
      </c>
      <c r="B5" s="1" t="s">
        <v>21</v>
      </c>
      <c r="C5" s="1" t="s">
        <v>11</v>
      </c>
      <c r="D5" s="1" t="s">
        <v>22</v>
      </c>
      <c r="E5" s="1" t="s">
        <v>23</v>
      </c>
      <c r="F5" s="1">
        <v>4</v>
      </c>
      <c r="G5" s="1">
        <v>41809</v>
      </c>
      <c r="H5" s="2">
        <v>44930</v>
      </c>
      <c r="I5" s="1">
        <v>167236</v>
      </c>
      <c r="J5" s="1">
        <v>8361.7999999999993</v>
      </c>
      <c r="K5" s="1" t="s">
        <v>55</v>
      </c>
    </row>
    <row r="6" spans="1:11" x14ac:dyDescent="0.25">
      <c r="A6" s="1">
        <v>1005</v>
      </c>
      <c r="B6" s="1" t="s">
        <v>10</v>
      </c>
      <c r="C6" s="1" t="s">
        <v>24</v>
      </c>
      <c r="D6" s="1" t="s">
        <v>19</v>
      </c>
      <c r="E6" s="1" t="s">
        <v>20</v>
      </c>
      <c r="F6" s="1">
        <v>3</v>
      </c>
      <c r="G6" s="1">
        <v>17725</v>
      </c>
      <c r="H6" s="2">
        <v>44931</v>
      </c>
      <c r="I6" s="1">
        <v>53175</v>
      </c>
      <c r="J6" s="1">
        <v>3545</v>
      </c>
      <c r="K6" s="1" t="s">
        <v>56</v>
      </c>
    </row>
    <row r="7" spans="1:11" x14ac:dyDescent="0.25">
      <c r="A7" s="1">
        <v>1006</v>
      </c>
      <c r="B7" s="1" t="s">
        <v>25</v>
      </c>
      <c r="C7" s="1" t="s">
        <v>11</v>
      </c>
      <c r="D7" s="1" t="s">
        <v>22</v>
      </c>
      <c r="E7" s="1" t="s">
        <v>13</v>
      </c>
      <c r="F7" s="1">
        <v>1</v>
      </c>
      <c r="G7" s="1">
        <v>41760</v>
      </c>
      <c r="H7" s="2">
        <v>44932</v>
      </c>
      <c r="I7" s="1">
        <v>41760</v>
      </c>
      <c r="J7" s="1">
        <v>8352</v>
      </c>
      <c r="K7" s="1" t="s">
        <v>57</v>
      </c>
    </row>
    <row r="8" spans="1:11" x14ac:dyDescent="0.25">
      <c r="A8" s="1">
        <v>1007</v>
      </c>
      <c r="B8" s="1" t="s">
        <v>26</v>
      </c>
      <c r="C8" s="1" t="s">
        <v>27</v>
      </c>
      <c r="D8" s="1" t="s">
        <v>12</v>
      </c>
      <c r="E8" s="1" t="s">
        <v>13</v>
      </c>
      <c r="F8" s="1">
        <v>6</v>
      </c>
      <c r="G8" s="1">
        <v>16646</v>
      </c>
      <c r="H8" s="2">
        <v>44933</v>
      </c>
      <c r="I8" s="1">
        <v>99876</v>
      </c>
      <c r="J8" s="1">
        <v>3329.2</v>
      </c>
      <c r="K8" s="1" t="s">
        <v>58</v>
      </c>
    </row>
    <row r="9" spans="1:11" x14ac:dyDescent="0.25">
      <c r="A9" s="1">
        <v>1008</v>
      </c>
      <c r="B9" s="1" t="s">
        <v>10</v>
      </c>
      <c r="C9" s="1" t="s">
        <v>27</v>
      </c>
      <c r="D9" s="1" t="s">
        <v>22</v>
      </c>
      <c r="E9" s="1" t="s">
        <v>13</v>
      </c>
      <c r="F9" s="1">
        <v>2</v>
      </c>
      <c r="G9" s="1">
        <v>18029</v>
      </c>
      <c r="H9" s="2">
        <v>44934</v>
      </c>
      <c r="I9" s="1">
        <v>36058</v>
      </c>
      <c r="J9" s="1">
        <v>3605.8</v>
      </c>
      <c r="K9" s="1" t="s">
        <v>55</v>
      </c>
    </row>
    <row r="10" spans="1:11" x14ac:dyDescent="0.25">
      <c r="A10" s="1">
        <v>1009</v>
      </c>
      <c r="B10" s="1" t="s">
        <v>18</v>
      </c>
      <c r="C10" s="1" t="s">
        <v>15</v>
      </c>
      <c r="D10" s="1" t="s">
        <v>12</v>
      </c>
      <c r="E10" s="1" t="s">
        <v>28</v>
      </c>
      <c r="F10" s="1">
        <v>8</v>
      </c>
      <c r="G10" s="1">
        <v>30402</v>
      </c>
      <c r="H10" s="2">
        <v>44935</v>
      </c>
      <c r="I10" s="1">
        <v>243216</v>
      </c>
      <c r="J10" s="1">
        <v>6080.4</v>
      </c>
      <c r="K10" s="1" t="s">
        <v>56</v>
      </c>
    </row>
    <row r="11" spans="1:11" x14ac:dyDescent="0.25">
      <c r="A11" s="1">
        <v>1010</v>
      </c>
      <c r="B11" s="1" t="s">
        <v>21</v>
      </c>
      <c r="C11" s="1" t="s">
        <v>11</v>
      </c>
      <c r="D11" s="1" t="s">
        <v>22</v>
      </c>
      <c r="E11" s="1" t="s">
        <v>28</v>
      </c>
      <c r="F11" s="1">
        <v>5</v>
      </c>
      <c r="G11" s="1">
        <v>5263</v>
      </c>
      <c r="H11" s="2">
        <v>44936</v>
      </c>
      <c r="I11" s="1">
        <v>26315</v>
      </c>
      <c r="J11" s="1">
        <v>1052.5999999999999</v>
      </c>
      <c r="K11" s="1" t="s">
        <v>57</v>
      </c>
    </row>
    <row r="12" spans="1:11" x14ac:dyDescent="0.25">
      <c r="A12" s="1">
        <v>1011</v>
      </c>
      <c r="B12" s="1" t="s">
        <v>14</v>
      </c>
      <c r="C12" s="1" t="s">
        <v>15</v>
      </c>
      <c r="D12" s="1" t="s">
        <v>12</v>
      </c>
      <c r="E12" s="1" t="s">
        <v>29</v>
      </c>
      <c r="F12" s="1">
        <v>7</v>
      </c>
      <c r="G12" s="1">
        <v>31987</v>
      </c>
      <c r="H12" s="2">
        <v>44937</v>
      </c>
      <c r="I12" s="1">
        <v>223909</v>
      </c>
      <c r="J12" s="1">
        <v>6397.4</v>
      </c>
      <c r="K12" s="1" t="s">
        <v>58</v>
      </c>
    </row>
    <row r="13" spans="1:11" x14ac:dyDescent="0.25">
      <c r="A13" s="1">
        <v>1012</v>
      </c>
      <c r="B13" s="1" t="s">
        <v>18</v>
      </c>
      <c r="C13" s="1" t="s">
        <v>27</v>
      </c>
      <c r="D13" s="1" t="s">
        <v>22</v>
      </c>
      <c r="E13" s="1" t="s">
        <v>29</v>
      </c>
      <c r="F13" s="1">
        <v>2</v>
      </c>
      <c r="G13" s="1">
        <v>47828</v>
      </c>
      <c r="H13" s="2">
        <v>44938</v>
      </c>
      <c r="I13" s="1">
        <v>95656</v>
      </c>
      <c r="J13" s="1">
        <v>9565.6</v>
      </c>
      <c r="K13" s="1" t="s">
        <v>55</v>
      </c>
    </row>
    <row r="14" spans="1:11" x14ac:dyDescent="0.25">
      <c r="A14" s="1">
        <v>1013</v>
      </c>
      <c r="B14" s="1" t="s">
        <v>18</v>
      </c>
      <c r="C14" s="1" t="s">
        <v>11</v>
      </c>
      <c r="D14" s="1" t="s">
        <v>16</v>
      </c>
      <c r="E14" s="1" t="s">
        <v>13</v>
      </c>
      <c r="F14" s="1">
        <v>8</v>
      </c>
      <c r="G14" s="1">
        <v>48924</v>
      </c>
      <c r="H14" s="2">
        <v>44939</v>
      </c>
      <c r="I14" s="1">
        <v>391392</v>
      </c>
      <c r="J14" s="1">
        <v>9784.7999999999993</v>
      </c>
      <c r="K14" s="1" t="s">
        <v>56</v>
      </c>
    </row>
    <row r="15" spans="1:11" x14ac:dyDescent="0.25">
      <c r="A15" s="1">
        <v>1014</v>
      </c>
      <c r="B15" s="1" t="s">
        <v>26</v>
      </c>
      <c r="C15" s="1" t="s">
        <v>11</v>
      </c>
      <c r="D15" s="1" t="s">
        <v>22</v>
      </c>
      <c r="E15" s="1" t="s">
        <v>17</v>
      </c>
      <c r="F15" s="1">
        <v>2</v>
      </c>
      <c r="G15" s="1">
        <v>9646</v>
      </c>
      <c r="H15" s="2">
        <v>44940</v>
      </c>
      <c r="I15" s="1">
        <v>19292</v>
      </c>
      <c r="J15" s="1">
        <v>1929.2</v>
      </c>
      <c r="K15" s="1" t="s">
        <v>57</v>
      </c>
    </row>
    <row r="16" spans="1:11" x14ac:dyDescent="0.25">
      <c r="A16" s="1">
        <v>1015</v>
      </c>
      <c r="B16" s="1" t="s">
        <v>30</v>
      </c>
      <c r="C16" s="1" t="s">
        <v>15</v>
      </c>
      <c r="D16" s="1" t="s">
        <v>22</v>
      </c>
      <c r="E16" s="1" t="s">
        <v>31</v>
      </c>
      <c r="F16" s="1">
        <v>4</v>
      </c>
      <c r="G16" s="1">
        <v>28529</v>
      </c>
      <c r="H16" s="2">
        <v>44941</v>
      </c>
      <c r="I16" s="1">
        <v>114116</v>
      </c>
      <c r="J16" s="1">
        <v>5705.8</v>
      </c>
      <c r="K16" s="1" t="s">
        <v>58</v>
      </c>
    </row>
    <row r="17" spans="1:11" x14ac:dyDescent="0.25">
      <c r="A17" s="1">
        <v>1016</v>
      </c>
      <c r="B17" s="1" t="s">
        <v>21</v>
      </c>
      <c r="C17" s="1" t="s">
        <v>27</v>
      </c>
      <c r="D17" s="1" t="s">
        <v>16</v>
      </c>
      <c r="E17" s="1" t="s">
        <v>28</v>
      </c>
      <c r="F17" s="1">
        <v>1</v>
      </c>
      <c r="G17" s="1">
        <v>12664</v>
      </c>
      <c r="H17" s="2">
        <v>44942</v>
      </c>
      <c r="I17" s="1">
        <v>12664</v>
      </c>
      <c r="J17" s="1">
        <v>2532.8000000000002</v>
      </c>
      <c r="K17" s="1" t="s">
        <v>55</v>
      </c>
    </row>
    <row r="18" spans="1:11" x14ac:dyDescent="0.25">
      <c r="A18" s="1">
        <v>1017</v>
      </c>
      <c r="B18" s="1" t="s">
        <v>32</v>
      </c>
      <c r="C18" s="1" t="s">
        <v>11</v>
      </c>
      <c r="D18" s="1" t="s">
        <v>19</v>
      </c>
      <c r="E18" s="1" t="s">
        <v>17</v>
      </c>
      <c r="F18" s="1">
        <v>5</v>
      </c>
      <c r="G18" s="1">
        <v>36737</v>
      </c>
      <c r="H18" s="2">
        <v>44943</v>
      </c>
      <c r="I18" s="1">
        <v>183685</v>
      </c>
      <c r="J18" s="1">
        <v>7347.4</v>
      </c>
      <c r="K18" s="1" t="s">
        <v>56</v>
      </c>
    </row>
    <row r="19" spans="1:11" x14ac:dyDescent="0.25">
      <c r="A19" s="1">
        <v>1018</v>
      </c>
      <c r="B19" s="1" t="s">
        <v>18</v>
      </c>
      <c r="C19" s="1" t="s">
        <v>15</v>
      </c>
      <c r="D19" s="1" t="s">
        <v>19</v>
      </c>
      <c r="E19" s="1" t="s">
        <v>33</v>
      </c>
      <c r="F19" s="1">
        <v>9</v>
      </c>
      <c r="G19" s="1">
        <v>36796</v>
      </c>
      <c r="H19" s="2">
        <v>44944</v>
      </c>
      <c r="I19" s="1">
        <v>331164</v>
      </c>
      <c r="J19" s="1">
        <v>7359.2</v>
      </c>
      <c r="K19" s="1" t="s">
        <v>57</v>
      </c>
    </row>
    <row r="20" spans="1:11" x14ac:dyDescent="0.25">
      <c r="A20" s="1">
        <v>1019</v>
      </c>
      <c r="B20" s="1" t="s">
        <v>30</v>
      </c>
      <c r="C20" s="1" t="s">
        <v>27</v>
      </c>
      <c r="D20" s="1" t="s">
        <v>22</v>
      </c>
      <c r="E20" s="1" t="s">
        <v>28</v>
      </c>
      <c r="F20" s="1">
        <v>1</v>
      </c>
      <c r="G20" s="1">
        <v>25027</v>
      </c>
      <c r="H20" s="2">
        <v>44945</v>
      </c>
      <c r="I20" s="1">
        <v>25027</v>
      </c>
      <c r="J20" s="1">
        <v>5005.3999999999996</v>
      </c>
      <c r="K20" s="1" t="s">
        <v>58</v>
      </c>
    </row>
    <row r="21" spans="1:11" x14ac:dyDescent="0.25">
      <c r="A21" s="1">
        <v>1020</v>
      </c>
      <c r="B21" s="1" t="s">
        <v>32</v>
      </c>
      <c r="C21" s="1" t="s">
        <v>15</v>
      </c>
      <c r="D21" s="1" t="s">
        <v>16</v>
      </c>
      <c r="E21" s="1" t="s">
        <v>28</v>
      </c>
      <c r="F21" s="1">
        <v>9</v>
      </c>
      <c r="G21" s="1">
        <v>30373</v>
      </c>
      <c r="H21" s="2">
        <v>44946</v>
      </c>
      <c r="I21" s="1">
        <v>273357</v>
      </c>
      <c r="J21" s="1">
        <v>6074.6</v>
      </c>
      <c r="K21" s="1" t="s">
        <v>55</v>
      </c>
    </row>
    <row r="22" spans="1:11" x14ac:dyDescent="0.25">
      <c r="A22" s="1">
        <v>1021</v>
      </c>
      <c r="B22" s="1" t="s">
        <v>21</v>
      </c>
      <c r="C22" s="1" t="s">
        <v>24</v>
      </c>
      <c r="D22" s="1" t="s">
        <v>22</v>
      </c>
      <c r="E22" s="1" t="s">
        <v>29</v>
      </c>
      <c r="F22" s="1">
        <v>8</v>
      </c>
      <c r="G22" s="1">
        <v>37397</v>
      </c>
      <c r="H22" s="2">
        <v>44947</v>
      </c>
      <c r="I22" s="1">
        <v>299176</v>
      </c>
      <c r="J22" s="1">
        <v>7479.4</v>
      </c>
      <c r="K22" s="1" t="s">
        <v>56</v>
      </c>
    </row>
    <row r="23" spans="1:11" x14ac:dyDescent="0.25">
      <c r="A23" s="1">
        <v>1022</v>
      </c>
      <c r="B23" s="1" t="s">
        <v>34</v>
      </c>
      <c r="C23" s="1" t="s">
        <v>11</v>
      </c>
      <c r="D23" s="1" t="s">
        <v>12</v>
      </c>
      <c r="E23" s="1" t="s">
        <v>31</v>
      </c>
      <c r="F23" s="1">
        <v>6</v>
      </c>
      <c r="G23" s="1">
        <v>21609</v>
      </c>
      <c r="H23" s="2">
        <v>44948</v>
      </c>
      <c r="I23" s="1">
        <v>129654</v>
      </c>
      <c r="J23" s="1">
        <v>4321.8</v>
      </c>
      <c r="K23" s="1" t="s">
        <v>57</v>
      </c>
    </row>
    <row r="24" spans="1:11" x14ac:dyDescent="0.25">
      <c r="A24" s="1">
        <v>1023</v>
      </c>
      <c r="B24" s="1" t="s">
        <v>25</v>
      </c>
      <c r="C24" s="1" t="s">
        <v>24</v>
      </c>
      <c r="D24" s="1" t="s">
        <v>12</v>
      </c>
      <c r="E24" s="1" t="s">
        <v>31</v>
      </c>
      <c r="F24" s="1">
        <v>7</v>
      </c>
      <c r="G24" s="1">
        <v>36835</v>
      </c>
      <c r="H24" s="2">
        <v>44949</v>
      </c>
      <c r="I24" s="1">
        <v>257845</v>
      </c>
      <c r="J24" s="1">
        <v>7367</v>
      </c>
      <c r="K24" s="1" t="s">
        <v>58</v>
      </c>
    </row>
    <row r="25" spans="1:11" x14ac:dyDescent="0.25">
      <c r="A25" s="1">
        <v>1024</v>
      </c>
      <c r="B25" s="1" t="s">
        <v>30</v>
      </c>
      <c r="C25" s="1" t="s">
        <v>27</v>
      </c>
      <c r="D25" s="1" t="s">
        <v>22</v>
      </c>
      <c r="E25" s="1" t="s">
        <v>23</v>
      </c>
      <c r="F25" s="1">
        <v>3</v>
      </c>
      <c r="G25" s="1">
        <v>39709</v>
      </c>
      <c r="H25" s="2">
        <v>44950</v>
      </c>
      <c r="I25" s="1">
        <v>119127</v>
      </c>
      <c r="J25" s="1">
        <v>7941.8</v>
      </c>
      <c r="K25" s="1" t="s">
        <v>55</v>
      </c>
    </row>
    <row r="26" spans="1:11" x14ac:dyDescent="0.25">
      <c r="A26" s="1">
        <v>1025</v>
      </c>
      <c r="B26" s="1" t="s">
        <v>35</v>
      </c>
      <c r="C26" s="1" t="s">
        <v>24</v>
      </c>
      <c r="D26" s="1" t="s">
        <v>19</v>
      </c>
      <c r="E26" s="1" t="s">
        <v>20</v>
      </c>
      <c r="F26" s="1">
        <v>1</v>
      </c>
      <c r="G26" s="1">
        <v>20250</v>
      </c>
      <c r="H26" s="2">
        <v>44951</v>
      </c>
      <c r="I26" s="1">
        <v>20250</v>
      </c>
      <c r="J26" s="1">
        <v>4050</v>
      </c>
      <c r="K26" s="1" t="s">
        <v>56</v>
      </c>
    </row>
    <row r="27" spans="1:11" x14ac:dyDescent="0.25">
      <c r="A27" s="1">
        <v>1026</v>
      </c>
      <c r="B27" s="1" t="s">
        <v>34</v>
      </c>
      <c r="C27" s="1" t="s">
        <v>24</v>
      </c>
      <c r="D27" s="1" t="s">
        <v>19</v>
      </c>
      <c r="E27" s="1" t="s">
        <v>20</v>
      </c>
      <c r="F27" s="1">
        <v>5</v>
      </c>
      <c r="G27" s="1">
        <v>22172</v>
      </c>
      <c r="H27" s="2">
        <v>44952</v>
      </c>
      <c r="I27" s="1">
        <v>110860</v>
      </c>
      <c r="J27" s="1">
        <v>4434.3999999999996</v>
      </c>
      <c r="K27" s="1" t="s">
        <v>57</v>
      </c>
    </row>
    <row r="28" spans="1:11" x14ac:dyDescent="0.25">
      <c r="A28" s="1">
        <v>1027</v>
      </c>
      <c r="B28" s="1" t="s">
        <v>25</v>
      </c>
      <c r="C28" s="1" t="s">
        <v>27</v>
      </c>
      <c r="D28" s="1" t="s">
        <v>22</v>
      </c>
      <c r="E28" s="1" t="s">
        <v>20</v>
      </c>
      <c r="F28" s="1">
        <v>2</v>
      </c>
      <c r="G28" s="1">
        <v>12555</v>
      </c>
      <c r="H28" s="2">
        <v>44953</v>
      </c>
      <c r="I28" s="1">
        <v>25110</v>
      </c>
      <c r="J28" s="1">
        <v>2511</v>
      </c>
      <c r="K28" s="1" t="s">
        <v>58</v>
      </c>
    </row>
    <row r="29" spans="1:11" x14ac:dyDescent="0.25">
      <c r="A29" s="1">
        <v>1028</v>
      </c>
      <c r="B29" s="1" t="s">
        <v>26</v>
      </c>
      <c r="C29" s="1" t="s">
        <v>15</v>
      </c>
      <c r="D29" s="1" t="s">
        <v>22</v>
      </c>
      <c r="E29" s="1" t="s">
        <v>20</v>
      </c>
      <c r="F29" s="1">
        <v>5</v>
      </c>
      <c r="G29" s="1">
        <v>22874</v>
      </c>
      <c r="H29" s="2">
        <v>44954</v>
      </c>
      <c r="I29" s="1">
        <v>114370</v>
      </c>
      <c r="J29" s="1">
        <v>4574.8</v>
      </c>
      <c r="K29" s="1" t="s">
        <v>55</v>
      </c>
    </row>
    <row r="30" spans="1:11" x14ac:dyDescent="0.25">
      <c r="A30" s="1">
        <v>1029</v>
      </c>
      <c r="B30" s="1" t="s">
        <v>10</v>
      </c>
      <c r="C30" s="1" t="s">
        <v>24</v>
      </c>
      <c r="D30" s="1" t="s">
        <v>12</v>
      </c>
      <c r="E30" s="1" t="s">
        <v>33</v>
      </c>
      <c r="F30" s="1">
        <v>8</v>
      </c>
      <c r="G30" s="1">
        <v>14081</v>
      </c>
      <c r="H30" s="2">
        <v>44955</v>
      </c>
      <c r="I30" s="1">
        <v>112648</v>
      </c>
      <c r="J30" s="1">
        <v>2816.2</v>
      </c>
      <c r="K30" s="1" t="s">
        <v>56</v>
      </c>
    </row>
    <row r="31" spans="1:11" x14ac:dyDescent="0.25">
      <c r="A31" s="1">
        <v>1030</v>
      </c>
      <c r="B31" s="1" t="s">
        <v>14</v>
      </c>
      <c r="C31" s="1" t="s">
        <v>15</v>
      </c>
      <c r="D31" s="1" t="s">
        <v>19</v>
      </c>
      <c r="E31" s="1" t="s">
        <v>33</v>
      </c>
      <c r="F31" s="1">
        <v>9</v>
      </c>
      <c r="G31" s="1">
        <v>25063</v>
      </c>
      <c r="H31" s="2">
        <v>44956</v>
      </c>
      <c r="I31" s="1">
        <v>225567</v>
      </c>
      <c r="J31" s="1">
        <v>5012.6000000000004</v>
      </c>
      <c r="K31" s="1" t="s">
        <v>57</v>
      </c>
    </row>
    <row r="32" spans="1:11" x14ac:dyDescent="0.25">
      <c r="A32" s="1">
        <v>1031</v>
      </c>
      <c r="B32" s="1" t="s">
        <v>35</v>
      </c>
      <c r="C32" s="1" t="s">
        <v>24</v>
      </c>
      <c r="D32" s="1" t="s">
        <v>22</v>
      </c>
      <c r="E32" s="1" t="s">
        <v>28</v>
      </c>
      <c r="F32" s="1">
        <v>2</v>
      </c>
      <c r="G32" s="1">
        <v>7819</v>
      </c>
      <c r="H32" s="2">
        <v>44957</v>
      </c>
      <c r="I32" s="1">
        <v>15638</v>
      </c>
      <c r="J32" s="1">
        <v>1563.8</v>
      </c>
      <c r="K32" s="1" t="s">
        <v>58</v>
      </c>
    </row>
    <row r="33" spans="1:11" x14ac:dyDescent="0.25">
      <c r="A33" s="1">
        <v>1032</v>
      </c>
      <c r="B33" s="1" t="s">
        <v>26</v>
      </c>
      <c r="C33" s="1" t="s">
        <v>15</v>
      </c>
      <c r="D33" s="1" t="s">
        <v>12</v>
      </c>
      <c r="E33" s="1" t="s">
        <v>13</v>
      </c>
      <c r="F33" s="1">
        <v>3</v>
      </c>
      <c r="G33" s="1">
        <v>26712</v>
      </c>
      <c r="H33" s="2">
        <v>44958</v>
      </c>
      <c r="I33" s="1">
        <v>80136</v>
      </c>
      <c r="J33" s="1">
        <v>5342.4</v>
      </c>
      <c r="K33" s="1" t="s">
        <v>55</v>
      </c>
    </row>
    <row r="34" spans="1:11" x14ac:dyDescent="0.25">
      <c r="A34" s="1">
        <v>1033</v>
      </c>
      <c r="B34" s="1" t="s">
        <v>21</v>
      </c>
      <c r="C34" s="1" t="s">
        <v>27</v>
      </c>
      <c r="D34" s="1" t="s">
        <v>19</v>
      </c>
      <c r="E34" s="1" t="s">
        <v>29</v>
      </c>
      <c r="F34" s="1">
        <v>3</v>
      </c>
      <c r="G34" s="1">
        <v>25762</v>
      </c>
      <c r="H34" s="2">
        <v>44959</v>
      </c>
      <c r="I34" s="1">
        <v>77286</v>
      </c>
      <c r="J34" s="1">
        <v>5152.3999999999996</v>
      </c>
      <c r="K34" s="1" t="s">
        <v>56</v>
      </c>
    </row>
    <row r="35" spans="1:11" x14ac:dyDescent="0.25">
      <c r="A35" s="1">
        <v>1034</v>
      </c>
      <c r="B35" s="1" t="s">
        <v>26</v>
      </c>
      <c r="C35" s="1" t="s">
        <v>24</v>
      </c>
      <c r="D35" s="1" t="s">
        <v>16</v>
      </c>
      <c r="E35" s="1" t="s">
        <v>29</v>
      </c>
      <c r="F35" s="1">
        <v>1</v>
      </c>
      <c r="G35" s="1">
        <v>12046</v>
      </c>
      <c r="H35" s="2">
        <v>44960</v>
      </c>
      <c r="I35" s="1">
        <v>12046</v>
      </c>
      <c r="J35" s="1">
        <v>2409.1999999999998</v>
      </c>
      <c r="K35" s="1" t="s">
        <v>57</v>
      </c>
    </row>
    <row r="36" spans="1:11" x14ac:dyDescent="0.25">
      <c r="A36" s="1">
        <v>1035</v>
      </c>
      <c r="B36" s="1" t="s">
        <v>10</v>
      </c>
      <c r="C36" s="1" t="s">
        <v>27</v>
      </c>
      <c r="D36" s="1" t="s">
        <v>12</v>
      </c>
      <c r="E36" s="1" t="s">
        <v>20</v>
      </c>
      <c r="F36" s="1">
        <v>8</v>
      </c>
      <c r="G36" s="1">
        <v>32463</v>
      </c>
      <c r="H36" s="2">
        <v>44961</v>
      </c>
      <c r="I36" s="1">
        <v>259704</v>
      </c>
      <c r="J36" s="1">
        <v>6492.6</v>
      </c>
      <c r="K36" s="1" t="s">
        <v>58</v>
      </c>
    </row>
    <row r="37" spans="1:11" x14ac:dyDescent="0.25">
      <c r="A37" s="1">
        <v>1036</v>
      </c>
      <c r="B37" s="1" t="s">
        <v>21</v>
      </c>
      <c r="C37" s="1" t="s">
        <v>24</v>
      </c>
      <c r="D37" s="1" t="s">
        <v>19</v>
      </c>
      <c r="E37" s="1" t="s">
        <v>28</v>
      </c>
      <c r="F37" s="1">
        <v>6</v>
      </c>
      <c r="G37" s="1">
        <v>29769</v>
      </c>
      <c r="H37" s="2">
        <v>44962</v>
      </c>
      <c r="I37" s="1">
        <v>178614</v>
      </c>
      <c r="J37" s="1">
        <v>5953.8</v>
      </c>
      <c r="K37" s="1" t="s">
        <v>55</v>
      </c>
    </row>
    <row r="38" spans="1:11" x14ac:dyDescent="0.25">
      <c r="A38" s="1">
        <v>1037</v>
      </c>
      <c r="B38" s="1" t="s">
        <v>35</v>
      </c>
      <c r="C38" s="1" t="s">
        <v>27</v>
      </c>
      <c r="D38" s="1" t="s">
        <v>19</v>
      </c>
      <c r="E38" s="1" t="s">
        <v>23</v>
      </c>
      <c r="F38" s="1">
        <v>8</v>
      </c>
      <c r="G38" s="1">
        <v>24150</v>
      </c>
      <c r="H38" s="2">
        <v>44963</v>
      </c>
      <c r="I38" s="1">
        <v>193200</v>
      </c>
      <c r="J38" s="1">
        <v>4830</v>
      </c>
      <c r="K38" s="1" t="s">
        <v>56</v>
      </c>
    </row>
    <row r="39" spans="1:11" x14ac:dyDescent="0.25">
      <c r="A39" s="1">
        <v>1038</v>
      </c>
      <c r="B39" s="1" t="s">
        <v>10</v>
      </c>
      <c r="C39" s="1" t="s">
        <v>27</v>
      </c>
      <c r="D39" s="1" t="s">
        <v>12</v>
      </c>
      <c r="E39" s="1" t="s">
        <v>17</v>
      </c>
      <c r="F39" s="1">
        <v>9</v>
      </c>
      <c r="G39" s="1">
        <v>3711</v>
      </c>
      <c r="H39" s="2">
        <v>44964</v>
      </c>
      <c r="I39" s="1">
        <v>33399</v>
      </c>
      <c r="J39" s="1">
        <v>742.2</v>
      </c>
      <c r="K39" s="1" t="s">
        <v>57</v>
      </c>
    </row>
    <row r="40" spans="1:11" x14ac:dyDescent="0.25">
      <c r="A40" s="1">
        <v>1039</v>
      </c>
      <c r="B40" s="1" t="s">
        <v>32</v>
      </c>
      <c r="C40" s="1" t="s">
        <v>24</v>
      </c>
      <c r="D40" s="1" t="s">
        <v>16</v>
      </c>
      <c r="E40" s="1" t="s">
        <v>13</v>
      </c>
      <c r="F40" s="1">
        <v>5</v>
      </c>
      <c r="G40" s="1">
        <v>5853</v>
      </c>
      <c r="H40" s="2">
        <v>44965</v>
      </c>
      <c r="I40" s="1">
        <v>29265</v>
      </c>
      <c r="J40" s="1">
        <v>1170.5999999999999</v>
      </c>
      <c r="K40" s="1" t="s">
        <v>58</v>
      </c>
    </row>
    <row r="41" spans="1:11" x14ac:dyDescent="0.25">
      <c r="A41" s="1">
        <v>1040</v>
      </c>
      <c r="B41" s="1" t="s">
        <v>14</v>
      </c>
      <c r="C41" s="1" t="s">
        <v>24</v>
      </c>
      <c r="D41" s="1" t="s">
        <v>12</v>
      </c>
      <c r="E41" s="1" t="s">
        <v>28</v>
      </c>
      <c r="F41" s="1">
        <v>3</v>
      </c>
      <c r="G41" s="1">
        <v>30077</v>
      </c>
      <c r="H41" s="2">
        <v>44966</v>
      </c>
      <c r="I41" s="1">
        <v>90231</v>
      </c>
      <c r="J41" s="1">
        <v>6015.4</v>
      </c>
      <c r="K41" s="1" t="s">
        <v>55</v>
      </c>
    </row>
    <row r="42" spans="1:11" x14ac:dyDescent="0.25">
      <c r="A42" s="1">
        <v>1041</v>
      </c>
      <c r="B42" s="1" t="s">
        <v>35</v>
      </c>
      <c r="C42" s="1" t="s">
        <v>24</v>
      </c>
      <c r="D42" s="1" t="s">
        <v>19</v>
      </c>
      <c r="E42" s="1" t="s">
        <v>13</v>
      </c>
      <c r="F42" s="1">
        <v>5</v>
      </c>
      <c r="G42" s="1">
        <v>24863</v>
      </c>
      <c r="H42" s="2">
        <v>44967</v>
      </c>
      <c r="I42" s="1">
        <v>124315</v>
      </c>
      <c r="J42" s="1">
        <v>4972.6000000000004</v>
      </c>
      <c r="K42" s="1" t="s">
        <v>56</v>
      </c>
    </row>
    <row r="43" spans="1:11" x14ac:dyDescent="0.25">
      <c r="A43" s="1">
        <v>1042</v>
      </c>
      <c r="B43" s="1" t="s">
        <v>32</v>
      </c>
      <c r="C43" s="1" t="s">
        <v>11</v>
      </c>
      <c r="D43" s="1" t="s">
        <v>22</v>
      </c>
      <c r="E43" s="1" t="s">
        <v>13</v>
      </c>
      <c r="F43" s="1">
        <v>5</v>
      </c>
      <c r="G43" s="1">
        <v>22792</v>
      </c>
      <c r="H43" s="2">
        <v>44968</v>
      </c>
      <c r="I43" s="1">
        <v>113960</v>
      </c>
      <c r="J43" s="1">
        <v>4558.3999999999996</v>
      </c>
      <c r="K43" s="1" t="s">
        <v>57</v>
      </c>
    </row>
    <row r="44" spans="1:11" x14ac:dyDescent="0.25">
      <c r="A44" s="1">
        <v>1043</v>
      </c>
      <c r="B44" s="1" t="s">
        <v>25</v>
      </c>
      <c r="C44" s="1" t="s">
        <v>15</v>
      </c>
      <c r="D44" s="1" t="s">
        <v>22</v>
      </c>
      <c r="E44" s="1" t="s">
        <v>13</v>
      </c>
      <c r="F44" s="1">
        <v>5</v>
      </c>
      <c r="G44" s="1">
        <v>41483</v>
      </c>
      <c r="H44" s="2">
        <v>44969</v>
      </c>
      <c r="I44" s="1">
        <v>207415</v>
      </c>
      <c r="J44" s="1">
        <v>8296.6</v>
      </c>
      <c r="K44" s="1" t="s">
        <v>58</v>
      </c>
    </row>
    <row r="45" spans="1:11" x14ac:dyDescent="0.25">
      <c r="A45" s="1">
        <v>1044</v>
      </c>
      <c r="B45" s="1" t="s">
        <v>35</v>
      </c>
      <c r="C45" s="1" t="s">
        <v>11</v>
      </c>
      <c r="D45" s="1" t="s">
        <v>12</v>
      </c>
      <c r="E45" s="1" t="s">
        <v>28</v>
      </c>
      <c r="F45" s="1">
        <v>3</v>
      </c>
      <c r="G45" s="1">
        <v>9942</v>
      </c>
      <c r="H45" s="2">
        <v>44970</v>
      </c>
      <c r="I45" s="1">
        <v>29826</v>
      </c>
      <c r="J45" s="1">
        <v>1988.4</v>
      </c>
      <c r="K45" s="1" t="s">
        <v>55</v>
      </c>
    </row>
    <row r="46" spans="1:11" x14ac:dyDescent="0.25">
      <c r="A46" s="1">
        <v>1045</v>
      </c>
      <c r="B46" s="1" t="s">
        <v>25</v>
      </c>
      <c r="C46" s="1" t="s">
        <v>11</v>
      </c>
      <c r="D46" s="1" t="s">
        <v>19</v>
      </c>
      <c r="E46" s="1" t="s">
        <v>20</v>
      </c>
      <c r="F46" s="1">
        <v>4</v>
      </c>
      <c r="G46" s="1">
        <v>49275</v>
      </c>
      <c r="H46" s="2">
        <v>44971</v>
      </c>
      <c r="I46" s="1">
        <v>197100</v>
      </c>
      <c r="J46" s="1">
        <v>9855</v>
      </c>
      <c r="K46" s="1" t="s">
        <v>56</v>
      </c>
    </row>
    <row r="47" spans="1:11" x14ac:dyDescent="0.25">
      <c r="A47" s="1">
        <v>1046</v>
      </c>
      <c r="B47" s="1" t="s">
        <v>21</v>
      </c>
      <c r="C47" s="1" t="s">
        <v>27</v>
      </c>
      <c r="D47" s="1" t="s">
        <v>22</v>
      </c>
      <c r="E47" s="1" t="s">
        <v>29</v>
      </c>
      <c r="F47" s="1">
        <v>9</v>
      </c>
      <c r="G47" s="1">
        <v>49594</v>
      </c>
      <c r="H47" s="2">
        <v>44972</v>
      </c>
      <c r="I47" s="1">
        <v>446346</v>
      </c>
      <c r="J47" s="1">
        <v>9918.7999999999993</v>
      </c>
      <c r="K47" s="1" t="s">
        <v>57</v>
      </c>
    </row>
    <row r="48" spans="1:11" x14ac:dyDescent="0.25">
      <c r="A48" s="1">
        <v>1047</v>
      </c>
      <c r="B48" s="1" t="s">
        <v>32</v>
      </c>
      <c r="C48" s="1" t="s">
        <v>24</v>
      </c>
      <c r="D48" s="1" t="s">
        <v>19</v>
      </c>
      <c r="E48" s="1" t="s">
        <v>29</v>
      </c>
      <c r="F48" s="1">
        <v>9</v>
      </c>
      <c r="G48" s="1">
        <v>2762</v>
      </c>
      <c r="H48" s="2">
        <v>44973</v>
      </c>
      <c r="I48" s="1">
        <v>24858</v>
      </c>
      <c r="J48" s="1">
        <v>552.4</v>
      </c>
      <c r="K48" s="1" t="s">
        <v>58</v>
      </c>
    </row>
    <row r="49" spans="1:11" x14ac:dyDescent="0.25">
      <c r="A49" s="1">
        <v>1048</v>
      </c>
      <c r="B49" s="1" t="s">
        <v>14</v>
      </c>
      <c r="C49" s="1" t="s">
        <v>15</v>
      </c>
      <c r="D49" s="1" t="s">
        <v>12</v>
      </c>
      <c r="E49" s="1" t="s">
        <v>20</v>
      </c>
      <c r="F49" s="1">
        <v>2</v>
      </c>
      <c r="G49" s="1">
        <v>32987</v>
      </c>
      <c r="H49" s="2">
        <v>44974</v>
      </c>
      <c r="I49" s="1">
        <v>65974</v>
      </c>
      <c r="J49" s="1">
        <v>6597.4</v>
      </c>
      <c r="K49" s="1" t="s">
        <v>55</v>
      </c>
    </row>
    <row r="50" spans="1:11" x14ac:dyDescent="0.25">
      <c r="A50" s="1">
        <v>1049</v>
      </c>
      <c r="B50" s="1" t="s">
        <v>10</v>
      </c>
      <c r="C50" s="1" t="s">
        <v>27</v>
      </c>
      <c r="D50" s="1" t="s">
        <v>22</v>
      </c>
      <c r="E50" s="1" t="s">
        <v>13</v>
      </c>
      <c r="F50" s="1">
        <v>8</v>
      </c>
      <c r="G50" s="1">
        <v>16850</v>
      </c>
      <c r="H50" s="2">
        <v>44975</v>
      </c>
      <c r="I50" s="1">
        <v>134800</v>
      </c>
      <c r="J50" s="1">
        <v>3370</v>
      </c>
      <c r="K50" s="1" t="s">
        <v>56</v>
      </c>
    </row>
    <row r="51" spans="1:11" x14ac:dyDescent="0.25">
      <c r="A51" s="1">
        <v>1050</v>
      </c>
      <c r="B51" s="1" t="s">
        <v>18</v>
      </c>
      <c r="C51" s="1" t="s">
        <v>11</v>
      </c>
      <c r="D51" s="1" t="s">
        <v>19</v>
      </c>
      <c r="E51" s="1" t="s">
        <v>17</v>
      </c>
      <c r="F51" s="1">
        <v>8</v>
      </c>
      <c r="G51" s="1">
        <v>13112</v>
      </c>
      <c r="H51" s="2">
        <v>44976</v>
      </c>
      <c r="I51" s="1">
        <v>104896</v>
      </c>
      <c r="J51" s="1">
        <v>2622.4</v>
      </c>
      <c r="K51" s="1" t="s">
        <v>57</v>
      </c>
    </row>
    <row r="52" spans="1:11" x14ac:dyDescent="0.25">
      <c r="A52" s="1">
        <v>1051</v>
      </c>
      <c r="B52" s="1" t="s">
        <v>26</v>
      </c>
      <c r="C52" s="1" t="s">
        <v>24</v>
      </c>
      <c r="D52" s="1" t="s">
        <v>22</v>
      </c>
      <c r="E52" s="1" t="s">
        <v>31</v>
      </c>
      <c r="F52" s="1">
        <v>7</v>
      </c>
      <c r="G52" s="1">
        <v>25058</v>
      </c>
      <c r="H52" s="2">
        <v>44977</v>
      </c>
      <c r="I52" s="1">
        <v>175406</v>
      </c>
      <c r="J52" s="1">
        <v>5011.6000000000004</v>
      </c>
      <c r="K52" s="1" t="s">
        <v>58</v>
      </c>
    </row>
    <row r="53" spans="1:11" x14ac:dyDescent="0.25">
      <c r="A53" s="1">
        <v>1052</v>
      </c>
      <c r="B53" s="1" t="s">
        <v>34</v>
      </c>
      <c r="C53" s="1" t="s">
        <v>27</v>
      </c>
      <c r="D53" s="1" t="s">
        <v>12</v>
      </c>
      <c r="E53" s="1" t="s">
        <v>28</v>
      </c>
      <c r="F53" s="1">
        <v>8</v>
      </c>
      <c r="G53" s="1">
        <v>46420</v>
      </c>
      <c r="H53" s="2">
        <v>44978</v>
      </c>
      <c r="I53" s="1">
        <v>371360</v>
      </c>
      <c r="J53" s="1">
        <v>9284</v>
      </c>
      <c r="K53" s="1" t="s">
        <v>55</v>
      </c>
    </row>
    <row r="54" spans="1:11" x14ac:dyDescent="0.25">
      <c r="A54" s="1">
        <v>1053</v>
      </c>
      <c r="B54" s="1" t="s">
        <v>14</v>
      </c>
      <c r="C54" s="1" t="s">
        <v>24</v>
      </c>
      <c r="D54" s="1" t="s">
        <v>19</v>
      </c>
      <c r="E54" s="1" t="s">
        <v>31</v>
      </c>
      <c r="F54" s="1">
        <v>3</v>
      </c>
      <c r="G54" s="1">
        <v>39890</v>
      </c>
      <c r="H54" s="2">
        <v>44979</v>
      </c>
      <c r="I54" s="1">
        <v>119670</v>
      </c>
      <c r="J54" s="1">
        <v>7978</v>
      </c>
      <c r="K54" s="1" t="s">
        <v>56</v>
      </c>
    </row>
    <row r="55" spans="1:11" x14ac:dyDescent="0.25">
      <c r="A55" s="1">
        <v>1054</v>
      </c>
      <c r="B55" s="1" t="s">
        <v>32</v>
      </c>
      <c r="C55" s="1" t="s">
        <v>27</v>
      </c>
      <c r="D55" s="1" t="s">
        <v>22</v>
      </c>
      <c r="E55" s="1" t="s">
        <v>23</v>
      </c>
      <c r="F55" s="1">
        <v>6</v>
      </c>
      <c r="G55" s="1">
        <v>1481</v>
      </c>
      <c r="H55" s="2">
        <v>44980</v>
      </c>
      <c r="I55" s="1">
        <v>8886</v>
      </c>
      <c r="J55" s="1">
        <v>296.2</v>
      </c>
      <c r="K55" s="1" t="s">
        <v>57</v>
      </c>
    </row>
    <row r="56" spans="1:11" x14ac:dyDescent="0.25">
      <c r="A56" s="1">
        <v>1055</v>
      </c>
      <c r="B56" s="1" t="s">
        <v>18</v>
      </c>
      <c r="C56" s="1" t="s">
        <v>24</v>
      </c>
      <c r="D56" s="1" t="s">
        <v>12</v>
      </c>
      <c r="E56" s="1" t="s">
        <v>20</v>
      </c>
      <c r="F56" s="1">
        <v>1</v>
      </c>
      <c r="G56" s="1">
        <v>48304</v>
      </c>
      <c r="H56" s="2">
        <v>44981</v>
      </c>
      <c r="I56" s="1">
        <v>48304</v>
      </c>
      <c r="J56" s="1">
        <v>9660.7999999999993</v>
      </c>
      <c r="K56" s="1" t="s">
        <v>58</v>
      </c>
    </row>
    <row r="57" spans="1:11" x14ac:dyDescent="0.25">
      <c r="A57" s="1">
        <v>1056</v>
      </c>
      <c r="B57" s="1" t="s">
        <v>14</v>
      </c>
      <c r="C57" s="1" t="s">
        <v>11</v>
      </c>
      <c r="D57" s="1" t="s">
        <v>22</v>
      </c>
      <c r="E57" s="1" t="s">
        <v>17</v>
      </c>
      <c r="F57" s="1">
        <v>7</v>
      </c>
      <c r="G57" s="1">
        <v>33921</v>
      </c>
      <c r="H57" s="2">
        <v>44982</v>
      </c>
      <c r="I57" s="1">
        <v>237447</v>
      </c>
      <c r="J57" s="1">
        <v>6784.2</v>
      </c>
      <c r="K57" s="1" t="s">
        <v>55</v>
      </c>
    </row>
    <row r="58" spans="1:11" x14ac:dyDescent="0.25">
      <c r="A58" s="1">
        <v>1057</v>
      </c>
      <c r="B58" s="1" t="s">
        <v>32</v>
      </c>
      <c r="C58" s="1" t="s">
        <v>15</v>
      </c>
      <c r="D58" s="1" t="s">
        <v>22</v>
      </c>
      <c r="E58" s="1" t="s">
        <v>28</v>
      </c>
      <c r="F58" s="1">
        <v>1</v>
      </c>
      <c r="G58" s="1">
        <v>41385</v>
      </c>
      <c r="H58" s="2">
        <v>44983</v>
      </c>
      <c r="I58" s="1">
        <v>41385</v>
      </c>
      <c r="J58" s="1">
        <v>8277</v>
      </c>
      <c r="K58" s="1" t="s">
        <v>56</v>
      </c>
    </row>
    <row r="59" spans="1:11" x14ac:dyDescent="0.25">
      <c r="A59" s="1">
        <v>1058</v>
      </c>
      <c r="B59" s="1" t="s">
        <v>30</v>
      </c>
      <c r="C59" s="1" t="s">
        <v>11</v>
      </c>
      <c r="D59" s="1" t="s">
        <v>16</v>
      </c>
      <c r="E59" s="1" t="s">
        <v>20</v>
      </c>
      <c r="F59" s="1">
        <v>9</v>
      </c>
      <c r="G59" s="1">
        <v>2524</v>
      </c>
      <c r="H59" s="2">
        <v>44984</v>
      </c>
      <c r="I59" s="1">
        <v>22716</v>
      </c>
      <c r="J59" s="1">
        <v>504.8</v>
      </c>
      <c r="K59" s="1" t="s">
        <v>57</v>
      </c>
    </row>
    <row r="60" spans="1:11" x14ac:dyDescent="0.25">
      <c r="A60" s="1">
        <v>1059</v>
      </c>
      <c r="B60" s="1" t="s">
        <v>30</v>
      </c>
      <c r="C60" s="1" t="s">
        <v>15</v>
      </c>
      <c r="D60" s="1" t="s">
        <v>16</v>
      </c>
      <c r="E60" s="1" t="s">
        <v>13</v>
      </c>
      <c r="F60" s="1">
        <v>1</v>
      </c>
      <c r="G60" s="1">
        <v>35888</v>
      </c>
      <c r="H60" s="2">
        <v>44985</v>
      </c>
      <c r="I60" s="1">
        <v>35888</v>
      </c>
      <c r="J60" s="1">
        <v>7177.6</v>
      </c>
      <c r="K60" s="1" t="s">
        <v>58</v>
      </c>
    </row>
    <row r="61" spans="1:11" x14ac:dyDescent="0.25">
      <c r="A61" s="1">
        <v>1060</v>
      </c>
      <c r="B61" s="1" t="s">
        <v>25</v>
      </c>
      <c r="C61" s="1" t="s">
        <v>24</v>
      </c>
      <c r="D61" s="1" t="s">
        <v>12</v>
      </c>
      <c r="E61" s="1" t="s">
        <v>29</v>
      </c>
      <c r="F61" s="1">
        <v>1</v>
      </c>
      <c r="G61" s="1">
        <v>16048</v>
      </c>
      <c r="H61" s="2">
        <v>44986</v>
      </c>
      <c r="I61" s="1">
        <v>16048</v>
      </c>
      <c r="J61" s="1">
        <v>3209.6</v>
      </c>
      <c r="K61" s="1" t="s">
        <v>55</v>
      </c>
    </row>
    <row r="62" spans="1:11" x14ac:dyDescent="0.25">
      <c r="A62" s="1">
        <v>1061</v>
      </c>
      <c r="B62" s="1" t="s">
        <v>14</v>
      </c>
      <c r="C62" s="1" t="s">
        <v>27</v>
      </c>
      <c r="D62" s="1" t="s">
        <v>16</v>
      </c>
      <c r="E62" s="1" t="s">
        <v>31</v>
      </c>
      <c r="F62" s="1">
        <v>7</v>
      </c>
      <c r="G62" s="1">
        <v>36111</v>
      </c>
      <c r="H62" s="2">
        <v>44987</v>
      </c>
      <c r="I62" s="1">
        <v>252777</v>
      </c>
      <c r="J62" s="1">
        <v>7222.2</v>
      </c>
      <c r="K62" s="1" t="s">
        <v>56</v>
      </c>
    </row>
    <row r="63" spans="1:11" x14ac:dyDescent="0.25">
      <c r="A63" s="1">
        <v>1062</v>
      </c>
      <c r="B63" s="1" t="s">
        <v>30</v>
      </c>
      <c r="C63" s="1" t="s">
        <v>11</v>
      </c>
      <c r="D63" s="1" t="s">
        <v>12</v>
      </c>
      <c r="E63" s="1" t="s">
        <v>33</v>
      </c>
      <c r="F63" s="1">
        <v>2</v>
      </c>
      <c r="G63" s="1">
        <v>38904</v>
      </c>
      <c r="H63" s="2">
        <v>44988</v>
      </c>
      <c r="I63" s="1">
        <v>77808</v>
      </c>
      <c r="J63" s="1">
        <v>7780.8</v>
      </c>
      <c r="K63" s="1" t="s">
        <v>57</v>
      </c>
    </row>
    <row r="64" spans="1:11" x14ac:dyDescent="0.25">
      <c r="A64" s="1">
        <v>1063</v>
      </c>
      <c r="B64" s="1" t="s">
        <v>32</v>
      </c>
      <c r="C64" s="1" t="s">
        <v>15</v>
      </c>
      <c r="D64" s="1" t="s">
        <v>16</v>
      </c>
      <c r="E64" s="1" t="s">
        <v>33</v>
      </c>
      <c r="F64" s="1">
        <v>5</v>
      </c>
      <c r="G64" s="1">
        <v>35008</v>
      </c>
      <c r="H64" s="2">
        <v>44989</v>
      </c>
      <c r="I64" s="1">
        <v>175040</v>
      </c>
      <c r="J64" s="1">
        <v>7001.6</v>
      </c>
      <c r="K64" s="1" t="s">
        <v>58</v>
      </c>
    </row>
    <row r="65" spans="1:11" x14ac:dyDescent="0.25">
      <c r="A65" s="1">
        <v>1064</v>
      </c>
      <c r="B65" s="1" t="s">
        <v>25</v>
      </c>
      <c r="C65" s="1" t="s">
        <v>11</v>
      </c>
      <c r="D65" s="1" t="s">
        <v>22</v>
      </c>
      <c r="E65" s="1" t="s">
        <v>17</v>
      </c>
      <c r="F65" s="1">
        <v>8</v>
      </c>
      <c r="G65" s="1">
        <v>1060</v>
      </c>
      <c r="H65" s="2">
        <v>44990</v>
      </c>
      <c r="I65" s="1">
        <v>8480</v>
      </c>
      <c r="J65" s="1">
        <v>212</v>
      </c>
      <c r="K65" s="1" t="s">
        <v>55</v>
      </c>
    </row>
    <row r="66" spans="1:11" x14ac:dyDescent="0.25">
      <c r="A66" s="1">
        <v>1065</v>
      </c>
      <c r="B66" s="1" t="s">
        <v>32</v>
      </c>
      <c r="C66" s="1" t="s">
        <v>15</v>
      </c>
      <c r="D66" s="1" t="s">
        <v>12</v>
      </c>
      <c r="E66" s="1" t="s">
        <v>13</v>
      </c>
      <c r="F66" s="1">
        <v>8</v>
      </c>
      <c r="G66" s="1">
        <v>10130</v>
      </c>
      <c r="H66" s="2">
        <v>44991</v>
      </c>
      <c r="I66" s="1">
        <v>81040</v>
      </c>
      <c r="J66" s="1">
        <v>2026</v>
      </c>
      <c r="K66" s="1" t="s">
        <v>56</v>
      </c>
    </row>
    <row r="67" spans="1:11" x14ac:dyDescent="0.25">
      <c r="A67" s="1">
        <v>1066</v>
      </c>
      <c r="B67" s="1" t="s">
        <v>25</v>
      </c>
      <c r="C67" s="1" t="s">
        <v>11</v>
      </c>
      <c r="D67" s="1" t="s">
        <v>12</v>
      </c>
      <c r="E67" s="1" t="s">
        <v>23</v>
      </c>
      <c r="F67" s="1">
        <v>3</v>
      </c>
      <c r="G67" s="1">
        <v>19023</v>
      </c>
      <c r="H67" s="2">
        <v>44992</v>
      </c>
      <c r="I67" s="1">
        <v>57069</v>
      </c>
      <c r="J67" s="1">
        <v>3804.6</v>
      </c>
      <c r="K67" s="1" t="s">
        <v>57</v>
      </c>
    </row>
    <row r="68" spans="1:11" x14ac:dyDescent="0.25">
      <c r="A68" s="1">
        <v>1067</v>
      </c>
      <c r="B68" s="1" t="s">
        <v>14</v>
      </c>
      <c r="C68" s="1" t="s">
        <v>15</v>
      </c>
      <c r="D68" s="1" t="s">
        <v>22</v>
      </c>
      <c r="E68" s="1" t="s">
        <v>31</v>
      </c>
      <c r="F68" s="1">
        <v>7</v>
      </c>
      <c r="G68" s="1">
        <v>46080</v>
      </c>
      <c r="H68" s="2">
        <v>44993</v>
      </c>
      <c r="I68" s="1">
        <v>322560</v>
      </c>
      <c r="J68" s="1">
        <v>9216</v>
      </c>
      <c r="K68" s="1" t="s">
        <v>58</v>
      </c>
    </row>
    <row r="69" spans="1:11" x14ac:dyDescent="0.25">
      <c r="A69" s="1">
        <v>1068</v>
      </c>
      <c r="B69" s="1" t="s">
        <v>18</v>
      </c>
      <c r="C69" s="1" t="s">
        <v>15</v>
      </c>
      <c r="D69" s="1" t="s">
        <v>12</v>
      </c>
      <c r="E69" s="1" t="s">
        <v>13</v>
      </c>
      <c r="F69" s="1">
        <v>3</v>
      </c>
      <c r="G69" s="1">
        <v>14350</v>
      </c>
      <c r="H69" s="2">
        <v>44994</v>
      </c>
      <c r="I69" s="1">
        <v>43050</v>
      </c>
      <c r="J69" s="1">
        <v>2870</v>
      </c>
      <c r="K69" s="1" t="s">
        <v>55</v>
      </c>
    </row>
    <row r="70" spans="1:11" x14ac:dyDescent="0.25">
      <c r="A70" s="1">
        <v>1069</v>
      </c>
      <c r="B70" s="1" t="s">
        <v>10</v>
      </c>
      <c r="C70" s="1" t="s">
        <v>24</v>
      </c>
      <c r="D70" s="1" t="s">
        <v>12</v>
      </c>
      <c r="E70" s="1" t="s">
        <v>31</v>
      </c>
      <c r="F70" s="1">
        <v>6</v>
      </c>
      <c r="G70" s="1">
        <v>25354</v>
      </c>
      <c r="H70" s="2">
        <v>44995</v>
      </c>
      <c r="I70" s="1">
        <v>152124</v>
      </c>
      <c r="J70" s="1">
        <v>5070.8</v>
      </c>
      <c r="K70" s="1" t="s">
        <v>56</v>
      </c>
    </row>
    <row r="71" spans="1:11" x14ac:dyDescent="0.25">
      <c r="A71" s="1">
        <v>1070</v>
      </c>
      <c r="B71" s="1" t="s">
        <v>35</v>
      </c>
      <c r="C71" s="1" t="s">
        <v>15</v>
      </c>
      <c r="D71" s="1" t="s">
        <v>16</v>
      </c>
      <c r="E71" s="1" t="s">
        <v>17</v>
      </c>
      <c r="F71" s="1">
        <v>6</v>
      </c>
      <c r="G71" s="1">
        <v>46186</v>
      </c>
      <c r="H71" s="2">
        <v>44996</v>
      </c>
      <c r="I71" s="1">
        <v>277116</v>
      </c>
      <c r="J71" s="1">
        <v>9237.2000000000007</v>
      </c>
      <c r="K71" s="1" t="s">
        <v>57</v>
      </c>
    </row>
    <row r="72" spans="1:11" x14ac:dyDescent="0.25">
      <c r="A72" s="1">
        <v>1071</v>
      </c>
      <c r="B72" s="1" t="s">
        <v>18</v>
      </c>
      <c r="C72" s="1" t="s">
        <v>24</v>
      </c>
      <c r="D72" s="1" t="s">
        <v>12</v>
      </c>
      <c r="E72" s="1" t="s">
        <v>17</v>
      </c>
      <c r="F72" s="1">
        <v>3</v>
      </c>
      <c r="G72" s="1">
        <v>29145</v>
      </c>
      <c r="H72" s="2">
        <v>44997</v>
      </c>
      <c r="I72" s="1">
        <v>87435</v>
      </c>
      <c r="J72" s="1">
        <v>5829</v>
      </c>
      <c r="K72" s="1" t="s">
        <v>58</v>
      </c>
    </row>
    <row r="73" spans="1:11" x14ac:dyDescent="0.25">
      <c r="A73" s="1">
        <v>1072</v>
      </c>
      <c r="B73" s="1" t="s">
        <v>21</v>
      </c>
      <c r="C73" s="1" t="s">
        <v>15</v>
      </c>
      <c r="D73" s="1" t="s">
        <v>19</v>
      </c>
      <c r="E73" s="1" t="s">
        <v>23</v>
      </c>
      <c r="F73" s="1">
        <v>7</v>
      </c>
      <c r="G73" s="1">
        <v>35020</v>
      </c>
      <c r="H73" s="2">
        <v>44998</v>
      </c>
      <c r="I73" s="1">
        <v>245140</v>
      </c>
      <c r="J73" s="1">
        <v>7004</v>
      </c>
      <c r="K73" s="1" t="s">
        <v>55</v>
      </c>
    </row>
    <row r="74" spans="1:11" x14ac:dyDescent="0.25">
      <c r="A74" s="1">
        <v>1073</v>
      </c>
      <c r="B74" s="1" t="s">
        <v>32</v>
      </c>
      <c r="C74" s="1" t="s">
        <v>27</v>
      </c>
      <c r="D74" s="1" t="s">
        <v>22</v>
      </c>
      <c r="E74" s="1" t="s">
        <v>33</v>
      </c>
      <c r="F74" s="1">
        <v>3</v>
      </c>
      <c r="G74" s="1">
        <v>21587</v>
      </c>
      <c r="H74" s="2">
        <v>44999</v>
      </c>
      <c r="I74" s="1">
        <v>64761</v>
      </c>
      <c r="J74" s="1">
        <v>4317.3999999999996</v>
      </c>
      <c r="K74" s="1" t="s">
        <v>56</v>
      </c>
    </row>
    <row r="75" spans="1:11" x14ac:dyDescent="0.25">
      <c r="A75" s="1">
        <v>1074</v>
      </c>
      <c r="B75" s="1" t="s">
        <v>21</v>
      </c>
      <c r="C75" s="1" t="s">
        <v>27</v>
      </c>
      <c r="D75" s="1" t="s">
        <v>16</v>
      </c>
      <c r="E75" s="1" t="s">
        <v>13</v>
      </c>
      <c r="F75" s="1">
        <v>8</v>
      </c>
      <c r="G75" s="1">
        <v>42131</v>
      </c>
      <c r="H75" s="2">
        <v>45000</v>
      </c>
      <c r="I75" s="1">
        <v>337048</v>
      </c>
      <c r="J75" s="1">
        <v>8426.2000000000007</v>
      </c>
      <c r="K75" s="1" t="s">
        <v>57</v>
      </c>
    </row>
    <row r="76" spans="1:11" x14ac:dyDescent="0.25">
      <c r="A76" s="1">
        <v>1075</v>
      </c>
      <c r="B76" s="1" t="s">
        <v>18</v>
      </c>
      <c r="C76" s="1" t="s">
        <v>27</v>
      </c>
      <c r="D76" s="1" t="s">
        <v>16</v>
      </c>
      <c r="E76" s="1" t="s">
        <v>28</v>
      </c>
      <c r="F76" s="1">
        <v>4</v>
      </c>
      <c r="G76" s="1">
        <v>10650</v>
      </c>
      <c r="H76" s="2">
        <v>45001</v>
      </c>
      <c r="I76" s="1">
        <v>42600</v>
      </c>
      <c r="J76" s="1">
        <v>2130</v>
      </c>
      <c r="K76" s="1" t="s">
        <v>58</v>
      </c>
    </row>
    <row r="77" spans="1:11" x14ac:dyDescent="0.25">
      <c r="A77" s="1">
        <v>1076</v>
      </c>
      <c r="B77" s="1" t="s">
        <v>25</v>
      </c>
      <c r="C77" s="1" t="s">
        <v>15</v>
      </c>
      <c r="D77" s="1" t="s">
        <v>19</v>
      </c>
      <c r="E77" s="1" t="s">
        <v>33</v>
      </c>
      <c r="F77" s="1">
        <v>1</v>
      </c>
      <c r="G77" s="1">
        <v>20933</v>
      </c>
      <c r="H77" s="2">
        <v>45002</v>
      </c>
      <c r="I77" s="1">
        <v>20933</v>
      </c>
      <c r="J77" s="1">
        <v>4186.6000000000004</v>
      </c>
      <c r="K77" s="1" t="s">
        <v>55</v>
      </c>
    </row>
    <row r="78" spans="1:11" x14ac:dyDescent="0.25">
      <c r="A78" s="1">
        <v>1077</v>
      </c>
      <c r="B78" s="1" t="s">
        <v>35</v>
      </c>
      <c r="C78" s="1" t="s">
        <v>24</v>
      </c>
      <c r="D78" s="1" t="s">
        <v>22</v>
      </c>
      <c r="E78" s="1" t="s">
        <v>13</v>
      </c>
      <c r="F78" s="1">
        <v>4</v>
      </c>
      <c r="G78" s="1">
        <v>21581</v>
      </c>
      <c r="H78" s="2">
        <v>45003</v>
      </c>
      <c r="I78" s="1">
        <v>86324</v>
      </c>
      <c r="J78" s="1">
        <v>4316.2</v>
      </c>
      <c r="K78" s="1" t="s">
        <v>56</v>
      </c>
    </row>
    <row r="79" spans="1:11" x14ac:dyDescent="0.25">
      <c r="A79" s="1">
        <v>1078</v>
      </c>
      <c r="B79" s="1" t="s">
        <v>35</v>
      </c>
      <c r="C79" s="1" t="s">
        <v>24</v>
      </c>
      <c r="D79" s="1" t="s">
        <v>22</v>
      </c>
      <c r="E79" s="1" t="s">
        <v>33</v>
      </c>
      <c r="F79" s="1">
        <v>7</v>
      </c>
      <c r="G79" s="1">
        <v>24393</v>
      </c>
      <c r="H79" s="2">
        <v>45004</v>
      </c>
      <c r="I79" s="1">
        <v>170751</v>
      </c>
      <c r="J79" s="1">
        <v>4878.6000000000004</v>
      </c>
      <c r="K79" s="1" t="s">
        <v>57</v>
      </c>
    </row>
    <row r="80" spans="1:11" x14ac:dyDescent="0.25">
      <c r="A80" s="1">
        <v>1079</v>
      </c>
      <c r="B80" s="1" t="s">
        <v>34</v>
      </c>
      <c r="C80" s="1" t="s">
        <v>15</v>
      </c>
      <c r="D80" s="1" t="s">
        <v>16</v>
      </c>
      <c r="E80" s="1" t="s">
        <v>28</v>
      </c>
      <c r="F80" s="1">
        <v>4</v>
      </c>
      <c r="G80" s="1">
        <v>24051</v>
      </c>
      <c r="H80" s="2">
        <v>45005</v>
      </c>
      <c r="I80" s="1">
        <v>96204</v>
      </c>
      <c r="J80" s="1">
        <v>4810.2</v>
      </c>
      <c r="K80" s="1" t="s">
        <v>58</v>
      </c>
    </row>
    <row r="81" spans="1:11" x14ac:dyDescent="0.25">
      <c r="A81" s="1">
        <v>1080</v>
      </c>
      <c r="B81" s="1" t="s">
        <v>35</v>
      </c>
      <c r="C81" s="1" t="s">
        <v>27</v>
      </c>
      <c r="D81" s="1" t="s">
        <v>12</v>
      </c>
      <c r="E81" s="1" t="s">
        <v>29</v>
      </c>
      <c r="F81" s="1">
        <v>6</v>
      </c>
      <c r="G81" s="1">
        <v>27212</v>
      </c>
      <c r="H81" s="2">
        <v>45006</v>
      </c>
      <c r="I81" s="1">
        <v>163272</v>
      </c>
      <c r="J81" s="1">
        <v>5442.4</v>
      </c>
      <c r="K81" s="1" t="s">
        <v>55</v>
      </c>
    </row>
    <row r="82" spans="1:11" x14ac:dyDescent="0.25">
      <c r="A82" s="1">
        <v>1081</v>
      </c>
      <c r="B82" s="1" t="s">
        <v>10</v>
      </c>
      <c r="C82" s="1" t="s">
        <v>27</v>
      </c>
      <c r="D82" s="1" t="s">
        <v>16</v>
      </c>
      <c r="E82" s="1" t="s">
        <v>29</v>
      </c>
      <c r="F82" s="1">
        <v>9</v>
      </c>
      <c r="G82" s="1">
        <v>5090</v>
      </c>
      <c r="H82" s="2">
        <v>45007</v>
      </c>
      <c r="I82" s="1">
        <v>45810</v>
      </c>
      <c r="J82" s="1">
        <v>1018</v>
      </c>
      <c r="K82" s="1" t="s">
        <v>56</v>
      </c>
    </row>
    <row r="83" spans="1:11" x14ac:dyDescent="0.25">
      <c r="A83" s="1">
        <v>1082</v>
      </c>
      <c r="B83" s="1" t="s">
        <v>35</v>
      </c>
      <c r="C83" s="1" t="s">
        <v>24</v>
      </c>
      <c r="D83" s="1" t="s">
        <v>22</v>
      </c>
      <c r="E83" s="1" t="s">
        <v>23</v>
      </c>
      <c r="F83" s="1">
        <v>1</v>
      </c>
      <c r="G83" s="1">
        <v>7960</v>
      </c>
      <c r="H83" s="2">
        <v>45008</v>
      </c>
      <c r="I83" s="1">
        <v>7960</v>
      </c>
      <c r="J83" s="1">
        <v>1592</v>
      </c>
      <c r="K83" s="1" t="s">
        <v>57</v>
      </c>
    </row>
    <row r="84" spans="1:11" x14ac:dyDescent="0.25">
      <c r="A84" s="1">
        <v>1083</v>
      </c>
      <c r="B84" s="1" t="s">
        <v>18</v>
      </c>
      <c r="C84" s="1" t="s">
        <v>27</v>
      </c>
      <c r="D84" s="1" t="s">
        <v>19</v>
      </c>
      <c r="E84" s="1" t="s">
        <v>29</v>
      </c>
      <c r="F84" s="1">
        <v>5</v>
      </c>
      <c r="G84" s="1">
        <v>36772</v>
      </c>
      <c r="H84" s="2">
        <v>45009</v>
      </c>
      <c r="I84" s="1">
        <v>183860</v>
      </c>
      <c r="J84" s="1">
        <v>7354.4</v>
      </c>
      <c r="K84" s="1" t="s">
        <v>58</v>
      </c>
    </row>
    <row r="85" spans="1:11" x14ac:dyDescent="0.25">
      <c r="A85" s="1">
        <v>1084</v>
      </c>
      <c r="B85" s="1" t="s">
        <v>34</v>
      </c>
      <c r="C85" s="1" t="s">
        <v>11</v>
      </c>
      <c r="D85" s="1" t="s">
        <v>16</v>
      </c>
      <c r="E85" s="1" t="s">
        <v>29</v>
      </c>
      <c r="F85" s="1">
        <v>7</v>
      </c>
      <c r="G85" s="1">
        <v>22520</v>
      </c>
      <c r="H85" s="2">
        <v>45010</v>
      </c>
      <c r="I85" s="1">
        <v>157640</v>
      </c>
      <c r="J85" s="1">
        <v>4504</v>
      </c>
      <c r="K85" s="1" t="s">
        <v>55</v>
      </c>
    </row>
    <row r="86" spans="1:11" x14ac:dyDescent="0.25">
      <c r="A86" s="1">
        <v>1085</v>
      </c>
      <c r="B86" s="1" t="s">
        <v>18</v>
      </c>
      <c r="C86" s="1" t="s">
        <v>24</v>
      </c>
      <c r="D86" s="1" t="s">
        <v>22</v>
      </c>
      <c r="E86" s="1" t="s">
        <v>20</v>
      </c>
      <c r="F86" s="1">
        <v>1</v>
      </c>
      <c r="G86" s="1">
        <v>37408</v>
      </c>
      <c r="H86" s="2">
        <v>45011</v>
      </c>
      <c r="I86" s="1">
        <v>37408</v>
      </c>
      <c r="J86" s="1">
        <v>7481.6</v>
      </c>
      <c r="K86" s="1" t="s">
        <v>56</v>
      </c>
    </row>
    <row r="87" spans="1:11" x14ac:dyDescent="0.25">
      <c r="A87" s="1">
        <v>1086</v>
      </c>
      <c r="B87" s="1" t="s">
        <v>18</v>
      </c>
      <c r="C87" s="1" t="s">
        <v>27</v>
      </c>
      <c r="D87" s="1" t="s">
        <v>16</v>
      </c>
      <c r="E87" s="1" t="s">
        <v>31</v>
      </c>
      <c r="F87" s="1">
        <v>4</v>
      </c>
      <c r="G87" s="1">
        <v>29470</v>
      </c>
      <c r="H87" s="2">
        <v>45012</v>
      </c>
      <c r="I87" s="1">
        <v>117880</v>
      </c>
      <c r="J87" s="1">
        <v>5894</v>
      </c>
      <c r="K87" s="1" t="s">
        <v>57</v>
      </c>
    </row>
    <row r="88" spans="1:11" x14ac:dyDescent="0.25">
      <c r="A88" s="1">
        <v>1087</v>
      </c>
      <c r="B88" s="1" t="s">
        <v>26</v>
      </c>
      <c r="C88" s="1" t="s">
        <v>24</v>
      </c>
      <c r="D88" s="1" t="s">
        <v>12</v>
      </c>
      <c r="E88" s="1" t="s">
        <v>20</v>
      </c>
      <c r="F88" s="1">
        <v>6</v>
      </c>
      <c r="G88" s="1">
        <v>21491</v>
      </c>
      <c r="H88" s="2">
        <v>45013</v>
      </c>
      <c r="I88" s="1">
        <v>128946</v>
      </c>
      <c r="J88" s="1">
        <v>4298.2</v>
      </c>
      <c r="K88" s="1" t="s">
        <v>58</v>
      </c>
    </row>
    <row r="89" spans="1:11" x14ac:dyDescent="0.25">
      <c r="A89" s="1">
        <v>1088</v>
      </c>
      <c r="B89" s="1" t="s">
        <v>34</v>
      </c>
      <c r="C89" s="1" t="s">
        <v>11</v>
      </c>
      <c r="D89" s="1" t="s">
        <v>16</v>
      </c>
      <c r="E89" s="1" t="s">
        <v>20</v>
      </c>
      <c r="F89" s="1">
        <v>2</v>
      </c>
      <c r="G89" s="1">
        <v>2341</v>
      </c>
      <c r="H89" s="2">
        <v>45014</v>
      </c>
      <c r="I89" s="1">
        <v>4682</v>
      </c>
      <c r="J89" s="1">
        <v>468.2</v>
      </c>
      <c r="K89" s="1" t="s">
        <v>55</v>
      </c>
    </row>
    <row r="90" spans="1:11" x14ac:dyDescent="0.25">
      <c r="A90" s="1">
        <v>1089</v>
      </c>
      <c r="B90" s="1" t="s">
        <v>18</v>
      </c>
      <c r="C90" s="1" t="s">
        <v>24</v>
      </c>
      <c r="D90" s="1" t="s">
        <v>16</v>
      </c>
      <c r="E90" s="1" t="s">
        <v>23</v>
      </c>
      <c r="F90" s="1">
        <v>5</v>
      </c>
      <c r="G90" s="1">
        <v>45623</v>
      </c>
      <c r="H90" s="2">
        <v>45015</v>
      </c>
      <c r="I90" s="1">
        <v>228115</v>
      </c>
      <c r="J90" s="1">
        <v>9124.6</v>
      </c>
      <c r="K90" s="1" t="s">
        <v>56</v>
      </c>
    </row>
    <row r="91" spans="1:11" x14ac:dyDescent="0.25">
      <c r="A91" s="1">
        <v>1090</v>
      </c>
      <c r="B91" s="1" t="s">
        <v>26</v>
      </c>
      <c r="C91" s="1" t="s">
        <v>24</v>
      </c>
      <c r="D91" s="1" t="s">
        <v>22</v>
      </c>
      <c r="E91" s="1" t="s">
        <v>20</v>
      </c>
      <c r="F91" s="1">
        <v>1</v>
      </c>
      <c r="G91" s="1">
        <v>25791</v>
      </c>
      <c r="H91" s="2">
        <v>45016</v>
      </c>
      <c r="I91" s="1">
        <v>25791</v>
      </c>
      <c r="J91" s="1">
        <v>5158.2</v>
      </c>
      <c r="K91" s="1" t="s">
        <v>57</v>
      </c>
    </row>
    <row r="92" spans="1:11" x14ac:dyDescent="0.25">
      <c r="A92" s="1">
        <v>1091</v>
      </c>
      <c r="B92" s="1" t="s">
        <v>26</v>
      </c>
      <c r="C92" s="1" t="s">
        <v>24</v>
      </c>
      <c r="D92" s="1" t="s">
        <v>22</v>
      </c>
      <c r="E92" s="1" t="s">
        <v>29</v>
      </c>
      <c r="F92" s="1">
        <v>6</v>
      </c>
      <c r="G92" s="1">
        <v>1338</v>
      </c>
      <c r="H92" s="2">
        <v>45017</v>
      </c>
      <c r="I92" s="1">
        <v>8028</v>
      </c>
      <c r="J92" s="1">
        <v>267.60000000000002</v>
      </c>
      <c r="K92" s="1" t="s">
        <v>58</v>
      </c>
    </row>
    <row r="93" spans="1:11" x14ac:dyDescent="0.25">
      <c r="A93" s="1">
        <v>1092</v>
      </c>
      <c r="B93" s="1" t="s">
        <v>34</v>
      </c>
      <c r="C93" s="1" t="s">
        <v>24</v>
      </c>
      <c r="D93" s="1" t="s">
        <v>22</v>
      </c>
      <c r="E93" s="1" t="s">
        <v>28</v>
      </c>
      <c r="F93" s="1">
        <v>6</v>
      </c>
      <c r="G93" s="1">
        <v>6895</v>
      </c>
      <c r="H93" s="2">
        <v>45018</v>
      </c>
      <c r="I93" s="1">
        <v>41370</v>
      </c>
      <c r="J93" s="1">
        <v>1379</v>
      </c>
      <c r="K93" s="1" t="s">
        <v>55</v>
      </c>
    </row>
    <row r="94" spans="1:11" x14ac:dyDescent="0.25">
      <c r="A94" s="1">
        <v>1093</v>
      </c>
      <c r="B94" s="1" t="s">
        <v>21</v>
      </c>
      <c r="C94" s="1" t="s">
        <v>11</v>
      </c>
      <c r="D94" s="1" t="s">
        <v>16</v>
      </c>
      <c r="E94" s="1" t="s">
        <v>23</v>
      </c>
      <c r="F94" s="1">
        <v>4</v>
      </c>
      <c r="G94" s="1">
        <v>13254</v>
      </c>
      <c r="H94" s="2">
        <v>45019</v>
      </c>
      <c r="I94" s="1">
        <v>53016</v>
      </c>
      <c r="J94" s="1">
        <v>2650.8</v>
      </c>
      <c r="K94" s="1" t="s">
        <v>56</v>
      </c>
    </row>
    <row r="95" spans="1:11" x14ac:dyDescent="0.25">
      <c r="A95" s="1">
        <v>1094</v>
      </c>
      <c r="B95" s="1" t="s">
        <v>25</v>
      </c>
      <c r="C95" s="1" t="s">
        <v>15</v>
      </c>
      <c r="D95" s="1" t="s">
        <v>12</v>
      </c>
      <c r="E95" s="1" t="s">
        <v>23</v>
      </c>
      <c r="F95" s="1">
        <v>8</v>
      </c>
      <c r="G95" s="1">
        <v>12344</v>
      </c>
      <c r="H95" s="2">
        <v>45020</v>
      </c>
      <c r="I95" s="1">
        <v>98752</v>
      </c>
      <c r="J95" s="1">
        <v>2468.8000000000002</v>
      </c>
      <c r="K95" s="1" t="s">
        <v>57</v>
      </c>
    </row>
    <row r="96" spans="1:11" x14ac:dyDescent="0.25">
      <c r="A96" s="1">
        <v>1095</v>
      </c>
      <c r="B96" s="1" t="s">
        <v>10</v>
      </c>
      <c r="C96" s="1" t="s">
        <v>24</v>
      </c>
      <c r="D96" s="1" t="s">
        <v>19</v>
      </c>
      <c r="E96" s="1" t="s">
        <v>17</v>
      </c>
      <c r="F96" s="1">
        <v>4</v>
      </c>
      <c r="G96" s="1">
        <v>2750</v>
      </c>
      <c r="H96" s="2">
        <v>45021</v>
      </c>
      <c r="I96" s="1">
        <v>11000</v>
      </c>
      <c r="J96" s="1">
        <v>550</v>
      </c>
      <c r="K96" s="1" t="s">
        <v>58</v>
      </c>
    </row>
    <row r="97" spans="1:11" x14ac:dyDescent="0.25">
      <c r="A97" s="1">
        <v>1096</v>
      </c>
      <c r="B97" s="1" t="s">
        <v>25</v>
      </c>
      <c r="C97" s="1" t="s">
        <v>24</v>
      </c>
      <c r="D97" s="1" t="s">
        <v>19</v>
      </c>
      <c r="E97" s="1" t="s">
        <v>23</v>
      </c>
      <c r="F97" s="1">
        <v>8</v>
      </c>
      <c r="G97" s="1">
        <v>3421</v>
      </c>
      <c r="H97" s="2">
        <v>45022</v>
      </c>
      <c r="I97" s="1">
        <v>27368</v>
      </c>
      <c r="J97" s="1">
        <v>684.2</v>
      </c>
      <c r="K97" s="1" t="s">
        <v>55</v>
      </c>
    </row>
    <row r="98" spans="1:11" x14ac:dyDescent="0.25">
      <c r="A98" s="1">
        <v>1097</v>
      </c>
      <c r="B98" s="1" t="s">
        <v>35</v>
      </c>
      <c r="C98" s="1" t="s">
        <v>27</v>
      </c>
      <c r="D98" s="1" t="s">
        <v>22</v>
      </c>
      <c r="E98" s="1" t="s">
        <v>17</v>
      </c>
      <c r="F98" s="1">
        <v>8</v>
      </c>
      <c r="G98" s="1">
        <v>40887</v>
      </c>
      <c r="H98" s="2">
        <v>45023</v>
      </c>
      <c r="I98" s="1">
        <v>327096</v>
      </c>
      <c r="J98" s="1">
        <v>8177.4</v>
      </c>
      <c r="K98" s="1" t="s">
        <v>56</v>
      </c>
    </row>
    <row r="99" spans="1:11" x14ac:dyDescent="0.25">
      <c r="A99" s="1">
        <v>1098</v>
      </c>
      <c r="B99" s="1" t="s">
        <v>10</v>
      </c>
      <c r="C99" s="1" t="s">
        <v>24</v>
      </c>
      <c r="D99" s="1" t="s">
        <v>22</v>
      </c>
      <c r="E99" s="1" t="s">
        <v>23</v>
      </c>
      <c r="F99" s="1">
        <v>5</v>
      </c>
      <c r="G99" s="1">
        <v>6319</v>
      </c>
      <c r="H99" s="2">
        <v>45024</v>
      </c>
      <c r="I99" s="1">
        <v>31595</v>
      </c>
      <c r="J99" s="1">
        <v>1263.8</v>
      </c>
      <c r="K99" s="1" t="s">
        <v>57</v>
      </c>
    </row>
    <row r="100" spans="1:11" x14ac:dyDescent="0.25">
      <c r="A100" s="1">
        <v>1099</v>
      </c>
      <c r="B100" s="1" t="s">
        <v>35</v>
      </c>
      <c r="C100" s="1" t="s">
        <v>27</v>
      </c>
      <c r="D100" s="1" t="s">
        <v>16</v>
      </c>
      <c r="E100" s="1" t="s">
        <v>31</v>
      </c>
      <c r="F100" s="1">
        <v>4</v>
      </c>
      <c r="G100" s="1">
        <v>16896</v>
      </c>
      <c r="H100" s="2">
        <v>45025</v>
      </c>
      <c r="I100" s="1">
        <v>67584</v>
      </c>
      <c r="J100" s="1">
        <v>3379.2</v>
      </c>
      <c r="K100" s="1" t="s">
        <v>58</v>
      </c>
    </row>
    <row r="101" spans="1:11" x14ac:dyDescent="0.25">
      <c r="A101" s="1">
        <v>1100</v>
      </c>
      <c r="B101" s="1" t="s">
        <v>18</v>
      </c>
      <c r="C101" s="1" t="s">
        <v>15</v>
      </c>
      <c r="D101" s="1" t="s">
        <v>19</v>
      </c>
      <c r="E101" s="1" t="s">
        <v>29</v>
      </c>
      <c r="F101" s="1">
        <v>2</v>
      </c>
      <c r="G101" s="1">
        <v>12918</v>
      </c>
      <c r="H101" s="2">
        <v>45026</v>
      </c>
      <c r="I101" s="1">
        <v>25836</v>
      </c>
      <c r="J101" s="1">
        <v>2583.6</v>
      </c>
      <c r="K101" s="1" t="s">
        <v>55</v>
      </c>
    </row>
    <row r="102" spans="1:11" x14ac:dyDescent="0.25">
      <c r="A102" s="1">
        <v>1101</v>
      </c>
      <c r="B102" s="1" t="s">
        <v>32</v>
      </c>
      <c r="C102" s="1" t="s">
        <v>11</v>
      </c>
      <c r="D102" s="1" t="s">
        <v>22</v>
      </c>
      <c r="E102" s="1" t="s">
        <v>23</v>
      </c>
      <c r="F102" s="1">
        <v>3</v>
      </c>
      <c r="G102" s="1">
        <v>26064</v>
      </c>
      <c r="H102" s="2">
        <v>45027</v>
      </c>
      <c r="I102" s="1">
        <v>78192</v>
      </c>
      <c r="J102" s="1">
        <v>5212.8</v>
      </c>
      <c r="K102" s="1" t="s">
        <v>56</v>
      </c>
    </row>
    <row r="103" spans="1:11" x14ac:dyDescent="0.25">
      <c r="A103" s="1">
        <v>1102</v>
      </c>
      <c r="B103" s="1" t="s">
        <v>34</v>
      </c>
      <c r="C103" s="1" t="s">
        <v>11</v>
      </c>
      <c r="D103" s="1" t="s">
        <v>12</v>
      </c>
      <c r="E103" s="1" t="s">
        <v>29</v>
      </c>
      <c r="F103" s="1">
        <v>3</v>
      </c>
      <c r="G103" s="1">
        <v>47617</v>
      </c>
      <c r="H103" s="2">
        <v>45028</v>
      </c>
      <c r="I103" s="1">
        <v>142851</v>
      </c>
      <c r="J103" s="1">
        <v>9523.4</v>
      </c>
      <c r="K103" s="1" t="s">
        <v>57</v>
      </c>
    </row>
    <row r="104" spans="1:11" x14ac:dyDescent="0.25">
      <c r="A104" s="1">
        <v>1103</v>
      </c>
      <c r="B104" s="1" t="s">
        <v>10</v>
      </c>
      <c r="C104" s="1" t="s">
        <v>15</v>
      </c>
      <c r="D104" s="1" t="s">
        <v>12</v>
      </c>
      <c r="E104" s="1" t="s">
        <v>29</v>
      </c>
      <c r="F104" s="1">
        <v>4</v>
      </c>
      <c r="G104" s="1">
        <v>28935</v>
      </c>
      <c r="H104" s="2">
        <v>45029</v>
      </c>
      <c r="I104" s="1">
        <v>115740</v>
      </c>
      <c r="J104" s="1">
        <v>5787</v>
      </c>
      <c r="K104" s="1" t="s">
        <v>58</v>
      </c>
    </row>
    <row r="105" spans="1:11" x14ac:dyDescent="0.25">
      <c r="A105" s="1">
        <v>1104</v>
      </c>
      <c r="B105" s="1" t="s">
        <v>10</v>
      </c>
      <c r="C105" s="1" t="s">
        <v>11</v>
      </c>
      <c r="D105" s="1" t="s">
        <v>22</v>
      </c>
      <c r="E105" s="1" t="s">
        <v>33</v>
      </c>
      <c r="F105" s="1">
        <v>4</v>
      </c>
      <c r="G105" s="1">
        <v>38641</v>
      </c>
      <c r="H105" s="2">
        <v>45030</v>
      </c>
      <c r="I105" s="1">
        <v>154564</v>
      </c>
      <c r="J105" s="1">
        <v>7728.2</v>
      </c>
      <c r="K105" s="1" t="s">
        <v>55</v>
      </c>
    </row>
    <row r="106" spans="1:11" x14ac:dyDescent="0.25">
      <c r="A106" s="1">
        <v>1105</v>
      </c>
      <c r="B106" s="1" t="s">
        <v>18</v>
      </c>
      <c r="C106" s="1" t="s">
        <v>15</v>
      </c>
      <c r="D106" s="1" t="s">
        <v>22</v>
      </c>
      <c r="E106" s="1" t="s">
        <v>23</v>
      </c>
      <c r="F106" s="1">
        <v>5</v>
      </c>
      <c r="G106" s="1">
        <v>30711</v>
      </c>
      <c r="H106" s="2">
        <v>45031</v>
      </c>
      <c r="I106" s="1">
        <v>153555</v>
      </c>
      <c r="J106" s="1">
        <v>6142.2</v>
      </c>
      <c r="K106" s="1" t="s">
        <v>56</v>
      </c>
    </row>
    <row r="107" spans="1:11" x14ac:dyDescent="0.25">
      <c r="A107" s="1">
        <v>1106</v>
      </c>
      <c r="B107" s="1" t="s">
        <v>21</v>
      </c>
      <c r="C107" s="1" t="s">
        <v>15</v>
      </c>
      <c r="D107" s="1" t="s">
        <v>19</v>
      </c>
      <c r="E107" s="1" t="s">
        <v>13</v>
      </c>
      <c r="F107" s="1">
        <v>4</v>
      </c>
      <c r="G107" s="1">
        <v>5806</v>
      </c>
      <c r="H107" s="2">
        <v>45032</v>
      </c>
      <c r="I107" s="1">
        <v>23224</v>
      </c>
      <c r="J107" s="1">
        <v>1161.2</v>
      </c>
      <c r="K107" s="1" t="s">
        <v>57</v>
      </c>
    </row>
    <row r="108" spans="1:11" x14ac:dyDescent="0.25">
      <c r="A108" s="1">
        <v>1107</v>
      </c>
      <c r="B108" s="1" t="s">
        <v>26</v>
      </c>
      <c r="C108" s="1" t="s">
        <v>15</v>
      </c>
      <c r="D108" s="1" t="s">
        <v>19</v>
      </c>
      <c r="E108" s="1" t="s">
        <v>33</v>
      </c>
      <c r="F108" s="1">
        <v>8</v>
      </c>
      <c r="G108" s="1">
        <v>42360</v>
      </c>
      <c r="H108" s="2">
        <v>45033</v>
      </c>
      <c r="I108" s="1">
        <v>338880</v>
      </c>
      <c r="J108" s="1">
        <v>8472</v>
      </c>
      <c r="K108" s="1" t="s">
        <v>58</v>
      </c>
    </row>
    <row r="109" spans="1:11" x14ac:dyDescent="0.25">
      <c r="A109" s="1">
        <v>1108</v>
      </c>
      <c r="B109" s="1" t="s">
        <v>18</v>
      </c>
      <c r="C109" s="1" t="s">
        <v>11</v>
      </c>
      <c r="D109" s="1" t="s">
        <v>16</v>
      </c>
      <c r="E109" s="1" t="s">
        <v>13</v>
      </c>
      <c r="F109" s="1">
        <v>6</v>
      </c>
      <c r="G109" s="1">
        <v>13182</v>
      </c>
      <c r="H109" s="2">
        <v>45034</v>
      </c>
      <c r="I109" s="1">
        <v>79092</v>
      </c>
      <c r="J109" s="1">
        <v>2636.4</v>
      </c>
      <c r="K109" s="1" t="s">
        <v>55</v>
      </c>
    </row>
    <row r="110" spans="1:11" x14ac:dyDescent="0.25">
      <c r="A110" s="1">
        <v>1109</v>
      </c>
      <c r="B110" s="1" t="s">
        <v>30</v>
      </c>
      <c r="C110" s="1" t="s">
        <v>27</v>
      </c>
      <c r="D110" s="1" t="s">
        <v>19</v>
      </c>
      <c r="E110" s="1" t="s">
        <v>29</v>
      </c>
      <c r="F110" s="1">
        <v>6</v>
      </c>
      <c r="G110" s="1">
        <v>23297</v>
      </c>
      <c r="H110" s="2">
        <v>45035</v>
      </c>
      <c r="I110" s="1">
        <v>139782</v>
      </c>
      <c r="J110" s="1">
        <v>4659.3999999999996</v>
      </c>
      <c r="K110" s="1" t="s">
        <v>56</v>
      </c>
    </row>
    <row r="111" spans="1:11" x14ac:dyDescent="0.25">
      <c r="A111" s="1">
        <v>1110</v>
      </c>
      <c r="B111" s="1" t="s">
        <v>26</v>
      </c>
      <c r="C111" s="1" t="s">
        <v>15</v>
      </c>
      <c r="D111" s="1" t="s">
        <v>12</v>
      </c>
      <c r="E111" s="1" t="s">
        <v>29</v>
      </c>
      <c r="F111" s="1">
        <v>8</v>
      </c>
      <c r="G111" s="1">
        <v>20541</v>
      </c>
      <c r="H111" s="2">
        <v>45036</v>
      </c>
      <c r="I111" s="1">
        <v>164328</v>
      </c>
      <c r="J111" s="1">
        <v>4108.2</v>
      </c>
      <c r="K111" s="1" t="s">
        <v>57</v>
      </c>
    </row>
    <row r="112" spans="1:11" x14ac:dyDescent="0.25">
      <c r="A112" s="1">
        <v>1111</v>
      </c>
      <c r="B112" s="1" t="s">
        <v>34</v>
      </c>
      <c r="C112" s="1" t="s">
        <v>24</v>
      </c>
      <c r="D112" s="1" t="s">
        <v>12</v>
      </c>
      <c r="E112" s="1" t="s">
        <v>33</v>
      </c>
      <c r="F112" s="1">
        <v>7</v>
      </c>
      <c r="G112" s="1">
        <v>29921</v>
      </c>
      <c r="H112" s="2">
        <v>45037</v>
      </c>
      <c r="I112" s="1">
        <v>209447</v>
      </c>
      <c r="J112" s="1">
        <v>5984.2</v>
      </c>
      <c r="K112" s="1" t="s">
        <v>58</v>
      </c>
    </row>
    <row r="113" spans="1:11" x14ac:dyDescent="0.25">
      <c r="A113" s="1">
        <v>1112</v>
      </c>
      <c r="B113" s="1" t="s">
        <v>26</v>
      </c>
      <c r="C113" s="1" t="s">
        <v>11</v>
      </c>
      <c r="D113" s="1" t="s">
        <v>22</v>
      </c>
      <c r="E113" s="1" t="s">
        <v>33</v>
      </c>
      <c r="F113" s="1">
        <v>8</v>
      </c>
      <c r="G113" s="1">
        <v>17774</v>
      </c>
      <c r="H113" s="2">
        <v>45038</v>
      </c>
      <c r="I113" s="1">
        <v>142192</v>
      </c>
      <c r="J113" s="1">
        <v>3554.8</v>
      </c>
      <c r="K113" s="1" t="s">
        <v>55</v>
      </c>
    </row>
    <row r="114" spans="1:11" x14ac:dyDescent="0.25">
      <c r="A114" s="1">
        <v>1113</v>
      </c>
      <c r="B114" s="1" t="s">
        <v>21</v>
      </c>
      <c r="C114" s="1" t="s">
        <v>15</v>
      </c>
      <c r="D114" s="1" t="s">
        <v>19</v>
      </c>
      <c r="E114" s="1" t="s">
        <v>13</v>
      </c>
      <c r="F114" s="1">
        <v>2</v>
      </c>
      <c r="G114" s="1">
        <v>45813</v>
      </c>
      <c r="H114" s="2">
        <v>45039</v>
      </c>
      <c r="I114" s="1">
        <v>91626</v>
      </c>
      <c r="J114" s="1">
        <v>9162.6</v>
      </c>
      <c r="K114" s="1" t="s">
        <v>56</v>
      </c>
    </row>
    <row r="115" spans="1:11" x14ac:dyDescent="0.25">
      <c r="A115" s="1">
        <v>1114</v>
      </c>
      <c r="B115" s="1" t="s">
        <v>26</v>
      </c>
      <c r="C115" s="1" t="s">
        <v>15</v>
      </c>
      <c r="D115" s="1" t="s">
        <v>16</v>
      </c>
      <c r="E115" s="1" t="s">
        <v>17</v>
      </c>
      <c r="F115" s="1">
        <v>9</v>
      </c>
      <c r="G115" s="1">
        <v>38198</v>
      </c>
      <c r="H115" s="2">
        <v>45040</v>
      </c>
      <c r="I115" s="1">
        <v>343782</v>
      </c>
      <c r="J115" s="1">
        <v>7639.6</v>
      </c>
      <c r="K115" s="1" t="s">
        <v>57</v>
      </c>
    </row>
    <row r="116" spans="1:11" x14ac:dyDescent="0.25">
      <c r="A116" s="1">
        <v>1115</v>
      </c>
      <c r="B116" s="1" t="s">
        <v>34</v>
      </c>
      <c r="C116" s="1" t="s">
        <v>24</v>
      </c>
      <c r="D116" s="1" t="s">
        <v>12</v>
      </c>
      <c r="E116" s="1" t="s">
        <v>13</v>
      </c>
      <c r="F116" s="1">
        <v>1</v>
      </c>
      <c r="G116" s="1">
        <v>9820</v>
      </c>
      <c r="H116" s="2">
        <v>45041</v>
      </c>
      <c r="I116" s="1">
        <v>9820</v>
      </c>
      <c r="J116" s="1">
        <v>1964</v>
      </c>
      <c r="K116" s="1" t="s">
        <v>58</v>
      </c>
    </row>
    <row r="117" spans="1:11" x14ac:dyDescent="0.25">
      <c r="A117" s="1">
        <v>1116</v>
      </c>
      <c r="B117" s="1" t="s">
        <v>21</v>
      </c>
      <c r="C117" s="1" t="s">
        <v>27</v>
      </c>
      <c r="D117" s="1" t="s">
        <v>12</v>
      </c>
      <c r="E117" s="1" t="s">
        <v>33</v>
      </c>
      <c r="F117" s="1">
        <v>8</v>
      </c>
      <c r="G117" s="1">
        <v>25070</v>
      </c>
      <c r="H117" s="2">
        <v>45042</v>
      </c>
      <c r="I117" s="1">
        <v>200560</v>
      </c>
      <c r="J117" s="1">
        <v>5014</v>
      </c>
      <c r="K117" s="1" t="s">
        <v>55</v>
      </c>
    </row>
    <row r="118" spans="1:11" x14ac:dyDescent="0.25">
      <c r="A118" s="1">
        <v>1117</v>
      </c>
      <c r="B118" s="1" t="s">
        <v>25</v>
      </c>
      <c r="C118" s="1" t="s">
        <v>27</v>
      </c>
      <c r="D118" s="1" t="s">
        <v>16</v>
      </c>
      <c r="E118" s="1" t="s">
        <v>28</v>
      </c>
      <c r="F118" s="1">
        <v>4</v>
      </c>
      <c r="G118" s="1">
        <v>5232</v>
      </c>
      <c r="H118" s="2">
        <v>45043</v>
      </c>
      <c r="I118" s="1">
        <v>20928</v>
      </c>
      <c r="J118" s="1">
        <v>1046.4000000000001</v>
      </c>
      <c r="K118" s="1" t="s">
        <v>56</v>
      </c>
    </row>
    <row r="119" spans="1:11" x14ac:dyDescent="0.25">
      <c r="A119" s="1">
        <v>1118</v>
      </c>
      <c r="B119" s="1" t="s">
        <v>10</v>
      </c>
      <c r="C119" s="1" t="s">
        <v>27</v>
      </c>
      <c r="D119" s="1" t="s">
        <v>16</v>
      </c>
      <c r="E119" s="1" t="s">
        <v>33</v>
      </c>
      <c r="F119" s="1">
        <v>4</v>
      </c>
      <c r="G119" s="1">
        <v>12122</v>
      </c>
      <c r="H119" s="2">
        <v>45044</v>
      </c>
      <c r="I119" s="1">
        <v>48488</v>
      </c>
      <c r="J119" s="1">
        <v>2424.4</v>
      </c>
      <c r="K119" s="1" t="s">
        <v>57</v>
      </c>
    </row>
    <row r="120" spans="1:11" x14ac:dyDescent="0.25">
      <c r="A120" s="1">
        <v>1119</v>
      </c>
      <c r="B120" s="1" t="s">
        <v>10</v>
      </c>
      <c r="C120" s="1" t="s">
        <v>15</v>
      </c>
      <c r="D120" s="1" t="s">
        <v>12</v>
      </c>
      <c r="E120" s="1" t="s">
        <v>28</v>
      </c>
      <c r="F120" s="1">
        <v>5</v>
      </c>
      <c r="G120" s="1">
        <v>16023</v>
      </c>
      <c r="H120" s="2">
        <v>45045</v>
      </c>
      <c r="I120" s="1">
        <v>80115</v>
      </c>
      <c r="J120" s="1">
        <v>3204.6</v>
      </c>
      <c r="K120" s="1" t="s">
        <v>58</v>
      </c>
    </row>
    <row r="121" spans="1:11" x14ac:dyDescent="0.25">
      <c r="A121" s="1">
        <v>1120</v>
      </c>
      <c r="B121" s="1" t="s">
        <v>35</v>
      </c>
      <c r="C121" s="1" t="s">
        <v>15</v>
      </c>
      <c r="D121" s="1" t="s">
        <v>12</v>
      </c>
      <c r="E121" s="1" t="s">
        <v>31</v>
      </c>
      <c r="F121" s="1">
        <v>8</v>
      </c>
      <c r="G121" s="1">
        <v>9007</v>
      </c>
      <c r="H121" s="2">
        <v>45046</v>
      </c>
      <c r="I121" s="1">
        <v>72056</v>
      </c>
      <c r="J121" s="1">
        <v>1801.4</v>
      </c>
      <c r="K121" s="1" t="s">
        <v>55</v>
      </c>
    </row>
    <row r="122" spans="1:11" x14ac:dyDescent="0.25">
      <c r="A122" s="1">
        <v>1121</v>
      </c>
      <c r="B122" s="1" t="s">
        <v>25</v>
      </c>
      <c r="C122" s="1" t="s">
        <v>15</v>
      </c>
      <c r="D122" s="1" t="s">
        <v>16</v>
      </c>
      <c r="E122" s="1" t="s">
        <v>33</v>
      </c>
      <c r="F122" s="1">
        <v>5</v>
      </c>
      <c r="G122" s="1">
        <v>18905</v>
      </c>
      <c r="H122" s="2">
        <v>45047</v>
      </c>
      <c r="I122" s="1">
        <v>94525</v>
      </c>
      <c r="J122" s="1">
        <v>3781</v>
      </c>
      <c r="K122" s="1" t="s">
        <v>56</v>
      </c>
    </row>
    <row r="123" spans="1:11" x14ac:dyDescent="0.25">
      <c r="A123" s="1">
        <v>1122</v>
      </c>
      <c r="B123" s="1" t="s">
        <v>25</v>
      </c>
      <c r="C123" s="1" t="s">
        <v>11</v>
      </c>
      <c r="D123" s="1" t="s">
        <v>12</v>
      </c>
      <c r="E123" s="1" t="s">
        <v>31</v>
      </c>
      <c r="F123" s="1">
        <v>8</v>
      </c>
      <c r="G123" s="1">
        <v>42786</v>
      </c>
      <c r="H123" s="2">
        <v>45048</v>
      </c>
      <c r="I123" s="1">
        <v>342288</v>
      </c>
      <c r="J123" s="1">
        <v>8557.2000000000007</v>
      </c>
      <c r="K123" s="1" t="s">
        <v>57</v>
      </c>
    </row>
    <row r="124" spans="1:11" x14ac:dyDescent="0.25">
      <c r="A124" s="1">
        <v>1123</v>
      </c>
      <c r="B124" s="1" t="s">
        <v>26</v>
      </c>
      <c r="C124" s="1" t="s">
        <v>24</v>
      </c>
      <c r="D124" s="1" t="s">
        <v>22</v>
      </c>
      <c r="E124" s="1" t="s">
        <v>17</v>
      </c>
      <c r="F124" s="1">
        <v>1</v>
      </c>
      <c r="G124" s="1">
        <v>30398</v>
      </c>
      <c r="H124" s="2">
        <v>45049</v>
      </c>
      <c r="I124" s="1">
        <v>30398</v>
      </c>
      <c r="J124" s="1">
        <v>6079.6</v>
      </c>
      <c r="K124" s="1" t="s">
        <v>58</v>
      </c>
    </row>
    <row r="125" spans="1:11" x14ac:dyDescent="0.25">
      <c r="A125" s="1">
        <v>1124</v>
      </c>
      <c r="B125" s="1" t="s">
        <v>10</v>
      </c>
      <c r="C125" s="1" t="s">
        <v>15</v>
      </c>
      <c r="D125" s="1" t="s">
        <v>22</v>
      </c>
      <c r="E125" s="1" t="s">
        <v>13</v>
      </c>
      <c r="F125" s="1">
        <v>9</v>
      </c>
      <c r="G125" s="1">
        <v>35268</v>
      </c>
      <c r="H125" s="2">
        <v>45050</v>
      </c>
      <c r="I125" s="1">
        <v>317412</v>
      </c>
      <c r="J125" s="1">
        <v>7053.6</v>
      </c>
      <c r="K125" s="1" t="s">
        <v>55</v>
      </c>
    </row>
    <row r="126" spans="1:11" x14ac:dyDescent="0.25">
      <c r="A126" s="1">
        <v>1125</v>
      </c>
      <c r="B126" s="1" t="s">
        <v>34</v>
      </c>
      <c r="C126" s="1" t="s">
        <v>24</v>
      </c>
      <c r="D126" s="1" t="s">
        <v>16</v>
      </c>
      <c r="E126" s="1" t="s">
        <v>28</v>
      </c>
      <c r="F126" s="1">
        <v>6</v>
      </c>
      <c r="G126" s="1">
        <v>7737</v>
      </c>
      <c r="H126" s="2">
        <v>45051</v>
      </c>
      <c r="I126" s="1">
        <v>46422</v>
      </c>
      <c r="J126" s="1">
        <v>1547.4</v>
      </c>
      <c r="K126" s="1" t="s">
        <v>56</v>
      </c>
    </row>
    <row r="127" spans="1:11" x14ac:dyDescent="0.25">
      <c r="A127" s="1">
        <v>1126</v>
      </c>
      <c r="B127" s="1" t="s">
        <v>14</v>
      </c>
      <c r="C127" s="1" t="s">
        <v>24</v>
      </c>
      <c r="D127" s="1" t="s">
        <v>19</v>
      </c>
      <c r="E127" s="1" t="s">
        <v>13</v>
      </c>
      <c r="F127" s="1">
        <v>3</v>
      </c>
      <c r="G127" s="1">
        <v>37062</v>
      </c>
      <c r="H127" s="2">
        <v>45052</v>
      </c>
      <c r="I127" s="1">
        <v>111186</v>
      </c>
      <c r="J127" s="1">
        <v>7412.4</v>
      </c>
      <c r="K127" s="1" t="s">
        <v>57</v>
      </c>
    </row>
    <row r="128" spans="1:11" x14ac:dyDescent="0.25">
      <c r="A128" s="1">
        <v>1127</v>
      </c>
      <c r="B128" s="1" t="s">
        <v>14</v>
      </c>
      <c r="C128" s="1" t="s">
        <v>27</v>
      </c>
      <c r="D128" s="1" t="s">
        <v>16</v>
      </c>
      <c r="E128" s="1" t="s">
        <v>31</v>
      </c>
      <c r="F128" s="1">
        <v>8</v>
      </c>
      <c r="G128" s="1">
        <v>26510</v>
      </c>
      <c r="H128" s="2">
        <v>45053</v>
      </c>
      <c r="I128" s="1">
        <v>212080</v>
      </c>
      <c r="J128" s="1">
        <v>5302</v>
      </c>
      <c r="K128" s="1" t="s">
        <v>58</v>
      </c>
    </row>
    <row r="129" spans="1:11" x14ac:dyDescent="0.25">
      <c r="A129" s="1">
        <v>1128</v>
      </c>
      <c r="B129" s="1" t="s">
        <v>21</v>
      </c>
      <c r="C129" s="1" t="s">
        <v>11</v>
      </c>
      <c r="D129" s="1" t="s">
        <v>16</v>
      </c>
      <c r="E129" s="1" t="s">
        <v>28</v>
      </c>
      <c r="F129" s="1">
        <v>9</v>
      </c>
      <c r="G129" s="1">
        <v>20426</v>
      </c>
      <c r="H129" s="2">
        <v>45054</v>
      </c>
      <c r="I129" s="1">
        <v>183834</v>
      </c>
      <c r="J129" s="1">
        <v>4085.2</v>
      </c>
      <c r="K129" s="1" t="s">
        <v>55</v>
      </c>
    </row>
    <row r="130" spans="1:11" x14ac:dyDescent="0.25">
      <c r="A130" s="1">
        <v>1129</v>
      </c>
      <c r="B130" s="1" t="s">
        <v>10</v>
      </c>
      <c r="C130" s="1" t="s">
        <v>15</v>
      </c>
      <c r="D130" s="1" t="s">
        <v>19</v>
      </c>
      <c r="E130" s="1" t="s">
        <v>13</v>
      </c>
      <c r="F130" s="1">
        <v>6</v>
      </c>
      <c r="G130" s="1">
        <v>38265</v>
      </c>
      <c r="H130" s="2">
        <v>45055</v>
      </c>
      <c r="I130" s="1">
        <v>229590</v>
      </c>
      <c r="J130" s="1">
        <v>7653</v>
      </c>
      <c r="K130" s="1" t="s">
        <v>56</v>
      </c>
    </row>
    <row r="131" spans="1:11" x14ac:dyDescent="0.25">
      <c r="A131" s="1">
        <v>1130</v>
      </c>
      <c r="B131" s="1" t="s">
        <v>10</v>
      </c>
      <c r="C131" s="1" t="s">
        <v>27</v>
      </c>
      <c r="D131" s="1" t="s">
        <v>19</v>
      </c>
      <c r="E131" s="1" t="s">
        <v>33</v>
      </c>
      <c r="F131" s="1">
        <v>7</v>
      </c>
      <c r="G131" s="1">
        <v>18850</v>
      </c>
      <c r="H131" s="2">
        <v>45056</v>
      </c>
      <c r="I131" s="1">
        <v>131950</v>
      </c>
      <c r="J131" s="1">
        <v>3770</v>
      </c>
      <c r="K131" s="1" t="s">
        <v>57</v>
      </c>
    </row>
    <row r="132" spans="1:11" x14ac:dyDescent="0.25">
      <c r="A132" s="1">
        <v>1131</v>
      </c>
      <c r="B132" s="1" t="s">
        <v>14</v>
      </c>
      <c r="C132" s="1" t="s">
        <v>27</v>
      </c>
      <c r="D132" s="1" t="s">
        <v>19</v>
      </c>
      <c r="E132" s="1" t="s">
        <v>29</v>
      </c>
      <c r="F132" s="1">
        <v>1</v>
      </c>
      <c r="G132" s="1">
        <v>1614</v>
      </c>
      <c r="H132" s="2">
        <v>45057</v>
      </c>
      <c r="I132" s="1">
        <v>1614</v>
      </c>
      <c r="J132" s="1">
        <v>322.8</v>
      </c>
      <c r="K132" s="1" t="s">
        <v>58</v>
      </c>
    </row>
    <row r="133" spans="1:11" x14ac:dyDescent="0.25">
      <c r="A133" s="1">
        <v>1132</v>
      </c>
      <c r="B133" s="1" t="s">
        <v>10</v>
      </c>
      <c r="C133" s="1" t="s">
        <v>15</v>
      </c>
      <c r="D133" s="1" t="s">
        <v>22</v>
      </c>
      <c r="E133" s="1" t="s">
        <v>31</v>
      </c>
      <c r="F133" s="1">
        <v>5</v>
      </c>
      <c r="G133" s="1">
        <v>22776</v>
      </c>
      <c r="H133" s="2">
        <v>45058</v>
      </c>
      <c r="I133" s="1">
        <v>113880</v>
      </c>
      <c r="J133" s="1">
        <v>4555.2</v>
      </c>
      <c r="K133" s="1" t="s">
        <v>55</v>
      </c>
    </row>
    <row r="134" spans="1:11" x14ac:dyDescent="0.25">
      <c r="A134" s="1">
        <v>1133</v>
      </c>
      <c r="B134" s="1" t="s">
        <v>26</v>
      </c>
      <c r="C134" s="1" t="s">
        <v>24</v>
      </c>
      <c r="D134" s="1" t="s">
        <v>12</v>
      </c>
      <c r="E134" s="1" t="s">
        <v>13</v>
      </c>
      <c r="F134" s="1">
        <v>5</v>
      </c>
      <c r="G134" s="1">
        <v>25077</v>
      </c>
      <c r="H134" s="2">
        <v>45059</v>
      </c>
      <c r="I134" s="1">
        <v>125385</v>
      </c>
      <c r="J134" s="1">
        <v>5015.3999999999996</v>
      </c>
      <c r="K134" s="1" t="s">
        <v>56</v>
      </c>
    </row>
    <row r="135" spans="1:11" x14ac:dyDescent="0.25">
      <c r="A135" s="1">
        <v>1134</v>
      </c>
      <c r="B135" s="1" t="s">
        <v>30</v>
      </c>
      <c r="C135" s="1" t="s">
        <v>27</v>
      </c>
      <c r="D135" s="1" t="s">
        <v>22</v>
      </c>
      <c r="E135" s="1" t="s">
        <v>31</v>
      </c>
      <c r="F135" s="1">
        <v>4</v>
      </c>
      <c r="G135" s="1">
        <v>10374</v>
      </c>
      <c r="H135" s="2">
        <v>45060</v>
      </c>
      <c r="I135" s="1">
        <v>41496</v>
      </c>
      <c r="J135" s="1">
        <v>2074.8000000000002</v>
      </c>
      <c r="K135" s="1" t="s">
        <v>57</v>
      </c>
    </row>
    <row r="136" spans="1:11" x14ac:dyDescent="0.25">
      <c r="A136" s="1">
        <v>1135</v>
      </c>
      <c r="B136" s="1" t="s">
        <v>32</v>
      </c>
      <c r="C136" s="1" t="s">
        <v>24</v>
      </c>
      <c r="D136" s="1" t="s">
        <v>12</v>
      </c>
      <c r="E136" s="1" t="s">
        <v>20</v>
      </c>
      <c r="F136" s="1">
        <v>6</v>
      </c>
      <c r="G136" s="1">
        <v>36435</v>
      </c>
      <c r="H136" s="2">
        <v>45061</v>
      </c>
      <c r="I136" s="1">
        <v>218610</v>
      </c>
      <c r="J136" s="1">
        <v>7287</v>
      </c>
      <c r="K136" s="1" t="s">
        <v>58</v>
      </c>
    </row>
    <row r="137" spans="1:11" x14ac:dyDescent="0.25">
      <c r="A137" s="1">
        <v>1136</v>
      </c>
      <c r="B137" s="1" t="s">
        <v>25</v>
      </c>
      <c r="C137" s="1" t="s">
        <v>11</v>
      </c>
      <c r="D137" s="1" t="s">
        <v>22</v>
      </c>
      <c r="E137" s="1" t="s">
        <v>31</v>
      </c>
      <c r="F137" s="1">
        <v>7</v>
      </c>
      <c r="G137" s="1">
        <v>31907</v>
      </c>
      <c r="H137" s="2">
        <v>45062</v>
      </c>
      <c r="I137" s="1">
        <v>223349</v>
      </c>
      <c r="J137" s="1">
        <v>6381.4</v>
      </c>
      <c r="K137" s="1" t="s">
        <v>55</v>
      </c>
    </row>
    <row r="138" spans="1:11" x14ac:dyDescent="0.25">
      <c r="A138" s="1">
        <v>1137</v>
      </c>
      <c r="B138" s="1" t="s">
        <v>35</v>
      </c>
      <c r="C138" s="1" t="s">
        <v>24</v>
      </c>
      <c r="D138" s="1" t="s">
        <v>12</v>
      </c>
      <c r="E138" s="1" t="s">
        <v>28</v>
      </c>
      <c r="F138" s="1">
        <v>9</v>
      </c>
      <c r="G138" s="1">
        <v>14409</v>
      </c>
      <c r="H138" s="2">
        <v>45063</v>
      </c>
      <c r="I138" s="1">
        <v>129681</v>
      </c>
      <c r="J138" s="1">
        <v>2881.8</v>
      </c>
      <c r="K138" s="1" t="s">
        <v>56</v>
      </c>
    </row>
    <row r="139" spans="1:11" x14ac:dyDescent="0.25">
      <c r="A139" s="1">
        <v>1138</v>
      </c>
      <c r="B139" s="1" t="s">
        <v>21</v>
      </c>
      <c r="C139" s="1" t="s">
        <v>11</v>
      </c>
      <c r="D139" s="1" t="s">
        <v>22</v>
      </c>
      <c r="E139" s="1" t="s">
        <v>20</v>
      </c>
      <c r="F139" s="1">
        <v>1</v>
      </c>
      <c r="G139" s="1">
        <v>17514</v>
      </c>
      <c r="H139" s="2">
        <v>45064</v>
      </c>
      <c r="I139" s="1">
        <v>17514</v>
      </c>
      <c r="J139" s="1">
        <v>3502.8</v>
      </c>
      <c r="K139" s="1" t="s">
        <v>57</v>
      </c>
    </row>
    <row r="140" spans="1:11" x14ac:dyDescent="0.25">
      <c r="A140" s="1">
        <v>1139</v>
      </c>
      <c r="B140" s="1" t="s">
        <v>30</v>
      </c>
      <c r="C140" s="1" t="s">
        <v>24</v>
      </c>
      <c r="D140" s="1" t="s">
        <v>19</v>
      </c>
      <c r="E140" s="1" t="s">
        <v>23</v>
      </c>
      <c r="F140" s="1">
        <v>6</v>
      </c>
      <c r="G140" s="1">
        <v>30866</v>
      </c>
      <c r="H140" s="2">
        <v>45065</v>
      </c>
      <c r="I140" s="1">
        <v>185196</v>
      </c>
      <c r="J140" s="1">
        <v>6173.2</v>
      </c>
      <c r="K140" s="1" t="s">
        <v>58</v>
      </c>
    </row>
    <row r="141" spans="1:11" x14ac:dyDescent="0.25">
      <c r="A141" s="1">
        <v>1140</v>
      </c>
      <c r="B141" s="1" t="s">
        <v>14</v>
      </c>
      <c r="C141" s="1" t="s">
        <v>27</v>
      </c>
      <c r="D141" s="1" t="s">
        <v>16</v>
      </c>
      <c r="E141" s="1" t="s">
        <v>28</v>
      </c>
      <c r="F141" s="1">
        <v>7</v>
      </c>
      <c r="G141" s="1">
        <v>3983</v>
      </c>
      <c r="H141" s="2">
        <v>45066</v>
      </c>
      <c r="I141" s="1">
        <v>27881</v>
      </c>
      <c r="J141" s="1">
        <v>796.6</v>
      </c>
      <c r="K141" s="1" t="s">
        <v>55</v>
      </c>
    </row>
    <row r="142" spans="1:11" x14ac:dyDescent="0.25">
      <c r="A142" s="1">
        <v>1141</v>
      </c>
      <c r="B142" s="1" t="s">
        <v>25</v>
      </c>
      <c r="C142" s="1" t="s">
        <v>27</v>
      </c>
      <c r="D142" s="1" t="s">
        <v>22</v>
      </c>
      <c r="E142" s="1" t="s">
        <v>29</v>
      </c>
      <c r="F142" s="1">
        <v>3</v>
      </c>
      <c r="G142" s="1">
        <v>32705</v>
      </c>
      <c r="H142" s="2">
        <v>45067</v>
      </c>
      <c r="I142" s="1">
        <v>98115</v>
      </c>
      <c r="J142" s="1">
        <v>6541</v>
      </c>
      <c r="K142" s="1" t="s">
        <v>56</v>
      </c>
    </row>
    <row r="143" spans="1:11" x14ac:dyDescent="0.25">
      <c r="A143" s="1">
        <v>1142</v>
      </c>
      <c r="B143" s="1" t="s">
        <v>10</v>
      </c>
      <c r="C143" s="1" t="s">
        <v>11</v>
      </c>
      <c r="D143" s="1" t="s">
        <v>12</v>
      </c>
      <c r="E143" s="1" t="s">
        <v>20</v>
      </c>
      <c r="F143" s="1">
        <v>8</v>
      </c>
      <c r="G143" s="1">
        <v>21662</v>
      </c>
      <c r="H143" s="2">
        <v>45068</v>
      </c>
      <c r="I143" s="1">
        <v>173296</v>
      </c>
      <c r="J143" s="1">
        <v>4332.3999999999996</v>
      </c>
      <c r="K143" s="1" t="s">
        <v>57</v>
      </c>
    </row>
    <row r="144" spans="1:11" x14ac:dyDescent="0.25">
      <c r="A144" s="1">
        <v>1143</v>
      </c>
      <c r="B144" s="1" t="s">
        <v>35</v>
      </c>
      <c r="C144" s="1" t="s">
        <v>15</v>
      </c>
      <c r="D144" s="1" t="s">
        <v>19</v>
      </c>
      <c r="E144" s="1" t="s">
        <v>23</v>
      </c>
      <c r="F144" s="1">
        <v>5</v>
      </c>
      <c r="G144" s="1">
        <v>24510</v>
      </c>
      <c r="H144" s="2">
        <v>45069</v>
      </c>
      <c r="I144" s="1">
        <v>122550</v>
      </c>
      <c r="J144" s="1">
        <v>4902</v>
      </c>
      <c r="K144" s="1" t="s">
        <v>58</v>
      </c>
    </row>
    <row r="145" spans="1:11" x14ac:dyDescent="0.25">
      <c r="A145" s="1">
        <v>1144</v>
      </c>
      <c r="B145" s="1" t="s">
        <v>10</v>
      </c>
      <c r="C145" s="1" t="s">
        <v>11</v>
      </c>
      <c r="D145" s="1" t="s">
        <v>22</v>
      </c>
      <c r="E145" s="1" t="s">
        <v>33</v>
      </c>
      <c r="F145" s="1">
        <v>9</v>
      </c>
      <c r="G145" s="1">
        <v>13651</v>
      </c>
      <c r="H145" s="2">
        <v>45070</v>
      </c>
      <c r="I145" s="1">
        <v>122859</v>
      </c>
      <c r="J145" s="1">
        <v>2730.2</v>
      </c>
      <c r="K145" s="1" t="s">
        <v>55</v>
      </c>
    </row>
    <row r="146" spans="1:11" x14ac:dyDescent="0.25">
      <c r="A146" s="1">
        <v>1145</v>
      </c>
      <c r="B146" s="1" t="s">
        <v>34</v>
      </c>
      <c r="C146" s="1" t="s">
        <v>11</v>
      </c>
      <c r="D146" s="1" t="s">
        <v>22</v>
      </c>
      <c r="E146" s="1" t="s">
        <v>31</v>
      </c>
      <c r="F146" s="1">
        <v>5</v>
      </c>
      <c r="G146" s="1">
        <v>41998</v>
      </c>
      <c r="H146" s="2">
        <v>45071</v>
      </c>
      <c r="I146" s="1">
        <v>209990</v>
      </c>
      <c r="J146" s="1">
        <v>8399.6</v>
      </c>
      <c r="K146" s="1" t="s">
        <v>56</v>
      </c>
    </row>
    <row r="147" spans="1:11" x14ac:dyDescent="0.25">
      <c r="A147" s="1">
        <v>1146</v>
      </c>
      <c r="B147" s="1" t="s">
        <v>34</v>
      </c>
      <c r="C147" s="1" t="s">
        <v>24</v>
      </c>
      <c r="D147" s="1" t="s">
        <v>19</v>
      </c>
      <c r="E147" s="1" t="s">
        <v>13</v>
      </c>
      <c r="F147" s="1">
        <v>9</v>
      </c>
      <c r="G147" s="1">
        <v>29535</v>
      </c>
      <c r="H147" s="2">
        <v>45072</v>
      </c>
      <c r="I147" s="1">
        <v>265815</v>
      </c>
      <c r="J147" s="1">
        <v>5907</v>
      </c>
      <c r="K147" s="1" t="s">
        <v>57</v>
      </c>
    </row>
    <row r="148" spans="1:11" x14ac:dyDescent="0.25">
      <c r="A148" s="1">
        <v>1147</v>
      </c>
      <c r="B148" s="1" t="s">
        <v>35</v>
      </c>
      <c r="C148" s="1" t="s">
        <v>24</v>
      </c>
      <c r="D148" s="1" t="s">
        <v>22</v>
      </c>
      <c r="E148" s="1" t="s">
        <v>17</v>
      </c>
      <c r="F148" s="1">
        <v>4</v>
      </c>
      <c r="G148" s="1">
        <v>7640</v>
      </c>
      <c r="H148" s="2">
        <v>45073</v>
      </c>
      <c r="I148" s="1">
        <v>30560</v>
      </c>
      <c r="J148" s="1">
        <v>1528</v>
      </c>
      <c r="K148" s="1" t="s">
        <v>58</v>
      </c>
    </row>
    <row r="149" spans="1:11" x14ac:dyDescent="0.25">
      <c r="A149" s="1">
        <v>1148</v>
      </c>
      <c r="B149" s="1" t="s">
        <v>35</v>
      </c>
      <c r="C149" s="1" t="s">
        <v>11</v>
      </c>
      <c r="D149" s="1" t="s">
        <v>16</v>
      </c>
      <c r="E149" s="1" t="s">
        <v>31</v>
      </c>
      <c r="F149" s="1">
        <v>9</v>
      </c>
      <c r="G149" s="1">
        <v>45547</v>
      </c>
      <c r="H149" s="2">
        <v>45074</v>
      </c>
      <c r="I149" s="1">
        <v>409923</v>
      </c>
      <c r="J149" s="1">
        <v>9109.4</v>
      </c>
      <c r="K149" s="1" t="s">
        <v>55</v>
      </c>
    </row>
    <row r="150" spans="1:11" x14ac:dyDescent="0.25">
      <c r="A150" s="1">
        <v>1149</v>
      </c>
      <c r="B150" s="1" t="s">
        <v>14</v>
      </c>
      <c r="C150" s="1" t="s">
        <v>27</v>
      </c>
      <c r="D150" s="1" t="s">
        <v>22</v>
      </c>
      <c r="E150" s="1" t="s">
        <v>23</v>
      </c>
      <c r="F150" s="1">
        <v>5</v>
      </c>
      <c r="G150" s="1">
        <v>16317</v>
      </c>
      <c r="H150" s="2">
        <v>45075</v>
      </c>
      <c r="I150" s="1">
        <v>81585</v>
      </c>
      <c r="J150" s="1">
        <v>3263.4</v>
      </c>
      <c r="K150" s="1" t="s">
        <v>56</v>
      </c>
    </row>
    <row r="151" spans="1:11" x14ac:dyDescent="0.25">
      <c r="A151" s="1">
        <v>1150</v>
      </c>
      <c r="B151" s="1" t="s">
        <v>35</v>
      </c>
      <c r="C151" s="1" t="s">
        <v>24</v>
      </c>
      <c r="D151" s="1" t="s">
        <v>16</v>
      </c>
      <c r="E151" s="1" t="s">
        <v>31</v>
      </c>
      <c r="F151" s="1">
        <v>9</v>
      </c>
      <c r="G151" s="1">
        <v>8564</v>
      </c>
      <c r="H151" s="2">
        <v>45076</v>
      </c>
      <c r="I151" s="1">
        <v>77076</v>
      </c>
      <c r="J151" s="1">
        <v>1712.8</v>
      </c>
      <c r="K151" s="1" t="s">
        <v>57</v>
      </c>
    </row>
    <row r="152" spans="1:11" x14ac:dyDescent="0.25">
      <c r="A152" s="1">
        <v>1151</v>
      </c>
      <c r="B152" s="1" t="s">
        <v>26</v>
      </c>
      <c r="C152" s="1" t="s">
        <v>15</v>
      </c>
      <c r="D152" s="1" t="s">
        <v>16</v>
      </c>
      <c r="E152" s="1" t="s">
        <v>29</v>
      </c>
      <c r="F152" s="1">
        <v>3</v>
      </c>
      <c r="G152" s="1">
        <v>28345</v>
      </c>
      <c r="H152" s="2">
        <v>45077</v>
      </c>
      <c r="I152" s="1">
        <v>85035</v>
      </c>
      <c r="J152" s="1">
        <v>5669</v>
      </c>
      <c r="K152" s="1" t="s">
        <v>58</v>
      </c>
    </row>
    <row r="153" spans="1:11" x14ac:dyDescent="0.25">
      <c r="A153" s="1">
        <v>1152</v>
      </c>
      <c r="B153" s="1" t="s">
        <v>10</v>
      </c>
      <c r="C153" s="1" t="s">
        <v>24</v>
      </c>
      <c r="D153" s="1" t="s">
        <v>19</v>
      </c>
      <c r="E153" s="1" t="s">
        <v>33</v>
      </c>
      <c r="F153" s="1">
        <v>4</v>
      </c>
      <c r="G153" s="1">
        <v>49288</v>
      </c>
      <c r="H153" s="2">
        <v>45078</v>
      </c>
      <c r="I153" s="1">
        <v>197152</v>
      </c>
      <c r="J153" s="1">
        <v>9857.6</v>
      </c>
      <c r="K153" s="1" t="s">
        <v>55</v>
      </c>
    </row>
    <row r="154" spans="1:11" x14ac:dyDescent="0.25">
      <c r="A154" s="1">
        <v>1153</v>
      </c>
      <c r="B154" s="1" t="s">
        <v>30</v>
      </c>
      <c r="C154" s="1" t="s">
        <v>24</v>
      </c>
      <c r="D154" s="1" t="s">
        <v>22</v>
      </c>
      <c r="E154" s="1" t="s">
        <v>17</v>
      </c>
      <c r="F154" s="1">
        <v>9</v>
      </c>
      <c r="G154" s="1">
        <v>29687</v>
      </c>
      <c r="H154" s="2">
        <v>45079</v>
      </c>
      <c r="I154" s="1">
        <v>267183</v>
      </c>
      <c r="J154" s="1">
        <v>5937.4</v>
      </c>
      <c r="K154" s="1" t="s">
        <v>56</v>
      </c>
    </row>
    <row r="155" spans="1:11" x14ac:dyDescent="0.25">
      <c r="A155" s="1">
        <v>1154</v>
      </c>
      <c r="B155" s="1" t="s">
        <v>18</v>
      </c>
      <c r="C155" s="1" t="s">
        <v>15</v>
      </c>
      <c r="D155" s="1" t="s">
        <v>19</v>
      </c>
      <c r="E155" s="1" t="s">
        <v>20</v>
      </c>
      <c r="F155" s="1">
        <v>6</v>
      </c>
      <c r="G155" s="1">
        <v>14737</v>
      </c>
      <c r="H155" s="2">
        <v>45080</v>
      </c>
      <c r="I155" s="1">
        <v>88422</v>
      </c>
      <c r="J155" s="1">
        <v>2947.4</v>
      </c>
      <c r="K155" s="1" t="s">
        <v>57</v>
      </c>
    </row>
    <row r="156" spans="1:11" x14ac:dyDescent="0.25">
      <c r="A156" s="1">
        <v>1155</v>
      </c>
      <c r="B156" s="1" t="s">
        <v>35</v>
      </c>
      <c r="C156" s="1" t="s">
        <v>11</v>
      </c>
      <c r="D156" s="1" t="s">
        <v>22</v>
      </c>
      <c r="E156" s="1" t="s">
        <v>20</v>
      </c>
      <c r="F156" s="1">
        <v>2</v>
      </c>
      <c r="G156" s="1">
        <v>10323</v>
      </c>
      <c r="H156" s="2">
        <v>45081</v>
      </c>
      <c r="I156" s="1">
        <v>20646</v>
      </c>
      <c r="J156" s="1">
        <v>2064.6</v>
      </c>
      <c r="K156" s="1" t="s">
        <v>58</v>
      </c>
    </row>
    <row r="157" spans="1:11" x14ac:dyDescent="0.25">
      <c r="A157" s="1">
        <v>1156</v>
      </c>
      <c r="B157" s="1" t="s">
        <v>21</v>
      </c>
      <c r="C157" s="1" t="s">
        <v>15</v>
      </c>
      <c r="D157" s="1" t="s">
        <v>22</v>
      </c>
      <c r="E157" s="1" t="s">
        <v>20</v>
      </c>
      <c r="F157" s="1">
        <v>7</v>
      </c>
      <c r="G157" s="1">
        <v>16229</v>
      </c>
      <c r="H157" s="2">
        <v>45082</v>
      </c>
      <c r="I157" s="1">
        <v>113603</v>
      </c>
      <c r="J157" s="1">
        <v>3245.8</v>
      </c>
      <c r="K157" s="1" t="s">
        <v>55</v>
      </c>
    </row>
    <row r="158" spans="1:11" x14ac:dyDescent="0.25">
      <c r="A158" s="1">
        <v>1157</v>
      </c>
      <c r="B158" s="1" t="s">
        <v>34</v>
      </c>
      <c r="C158" s="1" t="s">
        <v>11</v>
      </c>
      <c r="D158" s="1" t="s">
        <v>12</v>
      </c>
      <c r="E158" s="1" t="s">
        <v>23</v>
      </c>
      <c r="F158" s="1">
        <v>2</v>
      </c>
      <c r="G158" s="1">
        <v>45481</v>
      </c>
      <c r="H158" s="2">
        <v>45083</v>
      </c>
      <c r="I158" s="1">
        <v>90962</v>
      </c>
      <c r="J158" s="1">
        <v>9096.2000000000007</v>
      </c>
      <c r="K158" s="1" t="s">
        <v>56</v>
      </c>
    </row>
    <row r="159" spans="1:11" x14ac:dyDescent="0.25">
      <c r="A159" s="1">
        <v>1158</v>
      </c>
      <c r="B159" s="1" t="s">
        <v>26</v>
      </c>
      <c r="C159" s="1" t="s">
        <v>11</v>
      </c>
      <c r="D159" s="1" t="s">
        <v>22</v>
      </c>
      <c r="E159" s="1" t="s">
        <v>28</v>
      </c>
      <c r="F159" s="1">
        <v>2</v>
      </c>
      <c r="G159" s="1">
        <v>9502</v>
      </c>
      <c r="H159" s="2">
        <v>45084</v>
      </c>
      <c r="I159" s="1">
        <v>19004</v>
      </c>
      <c r="J159" s="1">
        <v>1900.4</v>
      </c>
      <c r="K159" s="1" t="s">
        <v>57</v>
      </c>
    </row>
    <row r="160" spans="1:11" x14ac:dyDescent="0.25">
      <c r="A160" s="1">
        <v>1159</v>
      </c>
      <c r="B160" s="1" t="s">
        <v>25</v>
      </c>
      <c r="C160" s="1" t="s">
        <v>11</v>
      </c>
      <c r="D160" s="1" t="s">
        <v>19</v>
      </c>
      <c r="E160" s="1" t="s">
        <v>28</v>
      </c>
      <c r="F160" s="1">
        <v>1</v>
      </c>
      <c r="G160" s="1">
        <v>1545</v>
      </c>
      <c r="H160" s="2">
        <v>45085</v>
      </c>
      <c r="I160" s="1">
        <v>1545</v>
      </c>
      <c r="J160" s="1">
        <v>309</v>
      </c>
      <c r="K160" s="1" t="s">
        <v>58</v>
      </c>
    </row>
    <row r="161" spans="1:11" x14ac:dyDescent="0.25">
      <c r="A161" s="1">
        <v>1160</v>
      </c>
      <c r="B161" s="1" t="s">
        <v>18</v>
      </c>
      <c r="C161" s="1" t="s">
        <v>15</v>
      </c>
      <c r="D161" s="1" t="s">
        <v>16</v>
      </c>
      <c r="E161" s="1" t="s">
        <v>13</v>
      </c>
      <c r="F161" s="1">
        <v>3</v>
      </c>
      <c r="G161" s="1">
        <v>38114</v>
      </c>
      <c r="H161" s="2">
        <v>45086</v>
      </c>
      <c r="I161" s="1">
        <v>114342</v>
      </c>
      <c r="J161" s="1">
        <v>7622.8</v>
      </c>
      <c r="K161" s="1" t="s">
        <v>55</v>
      </c>
    </row>
    <row r="162" spans="1:11" x14ac:dyDescent="0.25">
      <c r="A162" s="1">
        <v>1161</v>
      </c>
      <c r="B162" s="1" t="s">
        <v>30</v>
      </c>
      <c r="C162" s="1" t="s">
        <v>11</v>
      </c>
      <c r="D162" s="1" t="s">
        <v>22</v>
      </c>
      <c r="E162" s="1" t="s">
        <v>17</v>
      </c>
      <c r="F162" s="1">
        <v>6</v>
      </c>
      <c r="G162" s="1">
        <v>30430</v>
      </c>
      <c r="H162" s="2">
        <v>45087</v>
      </c>
      <c r="I162" s="1">
        <v>182580</v>
      </c>
      <c r="J162" s="1">
        <v>6086</v>
      </c>
      <c r="K162" s="1" t="s">
        <v>56</v>
      </c>
    </row>
    <row r="163" spans="1:11" x14ac:dyDescent="0.25">
      <c r="A163" s="1">
        <v>1162</v>
      </c>
      <c r="B163" s="1" t="s">
        <v>18</v>
      </c>
      <c r="C163" s="1" t="s">
        <v>27</v>
      </c>
      <c r="D163" s="1" t="s">
        <v>12</v>
      </c>
      <c r="E163" s="1" t="s">
        <v>20</v>
      </c>
      <c r="F163" s="1">
        <v>8</v>
      </c>
      <c r="G163" s="1">
        <v>10996</v>
      </c>
      <c r="H163" s="2">
        <v>45088</v>
      </c>
      <c r="I163" s="1">
        <v>87968</v>
      </c>
      <c r="J163" s="1">
        <v>2199.1999999999998</v>
      </c>
      <c r="K163" s="1" t="s">
        <v>57</v>
      </c>
    </row>
    <row r="164" spans="1:11" x14ac:dyDescent="0.25">
      <c r="A164" s="1">
        <v>1163</v>
      </c>
      <c r="B164" s="1" t="s">
        <v>35</v>
      </c>
      <c r="C164" s="1" t="s">
        <v>15</v>
      </c>
      <c r="D164" s="1" t="s">
        <v>19</v>
      </c>
      <c r="E164" s="1" t="s">
        <v>28</v>
      </c>
      <c r="F164" s="1">
        <v>9</v>
      </c>
      <c r="G164" s="1">
        <v>28788</v>
      </c>
      <c r="H164" s="2">
        <v>45089</v>
      </c>
      <c r="I164" s="1">
        <v>259092</v>
      </c>
      <c r="J164" s="1">
        <v>5757.6</v>
      </c>
      <c r="K164" s="1" t="s">
        <v>58</v>
      </c>
    </row>
    <row r="165" spans="1:11" x14ac:dyDescent="0.25">
      <c r="A165" s="1">
        <v>1164</v>
      </c>
      <c r="B165" s="1" t="s">
        <v>14</v>
      </c>
      <c r="C165" s="1" t="s">
        <v>27</v>
      </c>
      <c r="D165" s="1" t="s">
        <v>22</v>
      </c>
      <c r="E165" s="1" t="s">
        <v>23</v>
      </c>
      <c r="F165" s="1">
        <v>7</v>
      </c>
      <c r="G165" s="1">
        <v>30969</v>
      </c>
      <c r="H165" s="2">
        <v>45090</v>
      </c>
      <c r="I165" s="1">
        <v>216783</v>
      </c>
      <c r="J165" s="1">
        <v>6193.8</v>
      </c>
      <c r="K165" s="1" t="s">
        <v>55</v>
      </c>
    </row>
    <row r="166" spans="1:11" x14ac:dyDescent="0.25">
      <c r="A166" s="1">
        <v>1165</v>
      </c>
      <c r="B166" s="1" t="s">
        <v>34</v>
      </c>
      <c r="C166" s="1" t="s">
        <v>11</v>
      </c>
      <c r="D166" s="1" t="s">
        <v>19</v>
      </c>
      <c r="E166" s="1" t="s">
        <v>13</v>
      </c>
      <c r="F166" s="1">
        <v>4</v>
      </c>
      <c r="G166" s="1">
        <v>49543</v>
      </c>
      <c r="H166" s="2">
        <v>45091</v>
      </c>
      <c r="I166" s="1">
        <v>198172</v>
      </c>
      <c r="J166" s="1">
        <v>9908.6</v>
      </c>
      <c r="K166" s="1" t="s">
        <v>56</v>
      </c>
    </row>
    <row r="167" spans="1:11" x14ac:dyDescent="0.25">
      <c r="A167" s="1">
        <v>1166</v>
      </c>
      <c r="B167" s="1" t="s">
        <v>34</v>
      </c>
      <c r="C167" s="1" t="s">
        <v>24</v>
      </c>
      <c r="D167" s="1" t="s">
        <v>12</v>
      </c>
      <c r="E167" s="1" t="s">
        <v>33</v>
      </c>
      <c r="F167" s="1">
        <v>6</v>
      </c>
      <c r="G167" s="1">
        <v>14919</v>
      </c>
      <c r="H167" s="2">
        <v>45092</v>
      </c>
      <c r="I167" s="1">
        <v>89514</v>
      </c>
      <c r="J167" s="1">
        <v>2983.8</v>
      </c>
      <c r="K167" s="1" t="s">
        <v>57</v>
      </c>
    </row>
    <row r="168" spans="1:11" x14ac:dyDescent="0.25">
      <c r="A168" s="1">
        <v>1167</v>
      </c>
      <c r="B168" s="1" t="s">
        <v>25</v>
      </c>
      <c r="C168" s="1" t="s">
        <v>11</v>
      </c>
      <c r="D168" s="1" t="s">
        <v>12</v>
      </c>
      <c r="E168" s="1" t="s">
        <v>13</v>
      </c>
      <c r="F168" s="1">
        <v>5</v>
      </c>
      <c r="G168" s="1">
        <v>4810</v>
      </c>
      <c r="H168" s="2">
        <v>45093</v>
      </c>
      <c r="I168" s="1">
        <v>24050</v>
      </c>
      <c r="J168" s="1">
        <v>962</v>
      </c>
      <c r="K168" s="1" t="s">
        <v>58</v>
      </c>
    </row>
    <row r="169" spans="1:11" x14ac:dyDescent="0.25">
      <c r="A169" s="1">
        <v>1168</v>
      </c>
      <c r="B169" s="1" t="s">
        <v>14</v>
      </c>
      <c r="C169" s="1" t="s">
        <v>27</v>
      </c>
      <c r="D169" s="1" t="s">
        <v>19</v>
      </c>
      <c r="E169" s="1" t="s">
        <v>28</v>
      </c>
      <c r="F169" s="1">
        <v>8</v>
      </c>
      <c r="G169" s="1">
        <v>31586</v>
      </c>
      <c r="H169" s="2">
        <v>45094</v>
      </c>
      <c r="I169" s="1">
        <v>252688</v>
      </c>
      <c r="J169" s="1">
        <v>6317.2</v>
      </c>
      <c r="K169" s="1" t="s">
        <v>55</v>
      </c>
    </row>
    <row r="170" spans="1:11" x14ac:dyDescent="0.25">
      <c r="A170" s="1">
        <v>1169</v>
      </c>
      <c r="B170" s="1" t="s">
        <v>10</v>
      </c>
      <c r="C170" s="1" t="s">
        <v>27</v>
      </c>
      <c r="D170" s="1" t="s">
        <v>22</v>
      </c>
      <c r="E170" s="1" t="s">
        <v>29</v>
      </c>
      <c r="F170" s="1">
        <v>1</v>
      </c>
      <c r="G170" s="1">
        <v>40974</v>
      </c>
      <c r="H170" s="2">
        <v>45095</v>
      </c>
      <c r="I170" s="1">
        <v>40974</v>
      </c>
      <c r="J170" s="1">
        <v>8194.7999999999993</v>
      </c>
      <c r="K170" s="1" t="s">
        <v>56</v>
      </c>
    </row>
    <row r="171" spans="1:11" x14ac:dyDescent="0.25">
      <c r="A171" s="1">
        <v>1170</v>
      </c>
      <c r="B171" s="1" t="s">
        <v>32</v>
      </c>
      <c r="C171" s="1" t="s">
        <v>15</v>
      </c>
      <c r="D171" s="1" t="s">
        <v>16</v>
      </c>
      <c r="E171" s="1" t="s">
        <v>23</v>
      </c>
      <c r="F171" s="1">
        <v>1</v>
      </c>
      <c r="G171" s="1">
        <v>42773</v>
      </c>
      <c r="H171" s="2">
        <v>45096</v>
      </c>
      <c r="I171" s="1">
        <v>42773</v>
      </c>
      <c r="J171" s="1">
        <v>8554.6</v>
      </c>
      <c r="K171" s="1" t="s">
        <v>57</v>
      </c>
    </row>
    <row r="172" spans="1:11" x14ac:dyDescent="0.25">
      <c r="A172" s="1">
        <v>1171</v>
      </c>
      <c r="B172" s="1" t="s">
        <v>26</v>
      </c>
      <c r="C172" s="1" t="s">
        <v>24</v>
      </c>
      <c r="D172" s="1" t="s">
        <v>12</v>
      </c>
      <c r="E172" s="1" t="s">
        <v>29</v>
      </c>
      <c r="F172" s="1">
        <v>6</v>
      </c>
      <c r="G172" s="1">
        <v>17371</v>
      </c>
      <c r="H172" s="2">
        <v>45097</v>
      </c>
      <c r="I172" s="1">
        <v>104226</v>
      </c>
      <c r="J172" s="1">
        <v>3474.2</v>
      </c>
      <c r="K172" s="1" t="s">
        <v>58</v>
      </c>
    </row>
    <row r="173" spans="1:11" x14ac:dyDescent="0.25">
      <c r="A173" s="1">
        <v>1172</v>
      </c>
      <c r="B173" s="1" t="s">
        <v>34</v>
      </c>
      <c r="C173" s="1" t="s">
        <v>15</v>
      </c>
      <c r="D173" s="1" t="s">
        <v>22</v>
      </c>
      <c r="E173" s="1" t="s">
        <v>20</v>
      </c>
      <c r="F173" s="1">
        <v>2</v>
      </c>
      <c r="G173" s="1">
        <v>46084</v>
      </c>
      <c r="H173" s="2">
        <v>45098</v>
      </c>
      <c r="I173" s="1">
        <v>92168</v>
      </c>
      <c r="J173" s="1">
        <v>9216.7999999999993</v>
      </c>
      <c r="K173" s="1" t="s">
        <v>55</v>
      </c>
    </row>
    <row r="174" spans="1:11" x14ac:dyDescent="0.25">
      <c r="A174" s="1">
        <v>1173</v>
      </c>
      <c r="B174" s="1" t="s">
        <v>21</v>
      </c>
      <c r="C174" s="1" t="s">
        <v>27</v>
      </c>
      <c r="D174" s="1" t="s">
        <v>22</v>
      </c>
      <c r="E174" s="1" t="s">
        <v>29</v>
      </c>
      <c r="F174" s="1">
        <v>5</v>
      </c>
      <c r="G174" s="1">
        <v>30629</v>
      </c>
      <c r="H174" s="2">
        <v>45099</v>
      </c>
      <c r="I174" s="1">
        <v>153145</v>
      </c>
      <c r="J174" s="1">
        <v>6125.8</v>
      </c>
      <c r="K174" s="1" t="s">
        <v>56</v>
      </c>
    </row>
    <row r="175" spans="1:11" x14ac:dyDescent="0.25">
      <c r="A175" s="1">
        <v>1174</v>
      </c>
      <c r="B175" s="1" t="s">
        <v>34</v>
      </c>
      <c r="C175" s="1" t="s">
        <v>11</v>
      </c>
      <c r="D175" s="1" t="s">
        <v>16</v>
      </c>
      <c r="E175" s="1" t="s">
        <v>20</v>
      </c>
      <c r="F175" s="1">
        <v>1</v>
      </c>
      <c r="G175" s="1">
        <v>9436</v>
      </c>
      <c r="H175" s="2">
        <v>45100</v>
      </c>
      <c r="I175" s="1">
        <v>9436</v>
      </c>
      <c r="J175" s="1">
        <v>1887.2</v>
      </c>
      <c r="K175" s="1" t="s">
        <v>57</v>
      </c>
    </row>
    <row r="176" spans="1:11" x14ac:dyDescent="0.25">
      <c r="A176" s="1">
        <v>1175</v>
      </c>
      <c r="B176" s="1" t="s">
        <v>18</v>
      </c>
      <c r="C176" s="1" t="s">
        <v>24</v>
      </c>
      <c r="D176" s="1" t="s">
        <v>12</v>
      </c>
      <c r="E176" s="1" t="s">
        <v>20</v>
      </c>
      <c r="F176" s="1">
        <v>7</v>
      </c>
      <c r="G176" s="1">
        <v>13984</v>
      </c>
      <c r="H176" s="2">
        <v>45101</v>
      </c>
      <c r="I176" s="1">
        <v>97888</v>
      </c>
      <c r="J176" s="1">
        <v>2796.8</v>
      </c>
      <c r="K176" s="1" t="s">
        <v>58</v>
      </c>
    </row>
    <row r="177" spans="1:11" x14ac:dyDescent="0.25">
      <c r="A177" s="1">
        <v>1176</v>
      </c>
      <c r="B177" s="1" t="s">
        <v>34</v>
      </c>
      <c r="C177" s="1" t="s">
        <v>11</v>
      </c>
      <c r="D177" s="1" t="s">
        <v>12</v>
      </c>
      <c r="E177" s="1" t="s">
        <v>28</v>
      </c>
      <c r="F177" s="1">
        <v>1</v>
      </c>
      <c r="G177" s="1">
        <v>34039</v>
      </c>
      <c r="H177" s="2">
        <v>45102</v>
      </c>
      <c r="I177" s="1">
        <v>34039</v>
      </c>
      <c r="J177" s="1">
        <v>6807.8</v>
      </c>
      <c r="K177" s="1" t="s">
        <v>55</v>
      </c>
    </row>
    <row r="178" spans="1:11" x14ac:dyDescent="0.25">
      <c r="A178" s="1">
        <v>1177</v>
      </c>
      <c r="B178" s="1" t="s">
        <v>34</v>
      </c>
      <c r="C178" s="1" t="s">
        <v>11</v>
      </c>
      <c r="D178" s="1" t="s">
        <v>22</v>
      </c>
      <c r="E178" s="1" t="s">
        <v>29</v>
      </c>
      <c r="F178" s="1">
        <v>4</v>
      </c>
      <c r="G178" s="1">
        <v>20895</v>
      </c>
      <c r="H178" s="2">
        <v>45103</v>
      </c>
      <c r="I178" s="1">
        <v>83580</v>
      </c>
      <c r="J178" s="1">
        <v>4179</v>
      </c>
      <c r="K178" s="1" t="s">
        <v>56</v>
      </c>
    </row>
    <row r="179" spans="1:11" x14ac:dyDescent="0.25">
      <c r="A179" s="1">
        <v>1178</v>
      </c>
      <c r="B179" s="1" t="s">
        <v>32</v>
      </c>
      <c r="C179" s="1" t="s">
        <v>24</v>
      </c>
      <c r="D179" s="1" t="s">
        <v>22</v>
      </c>
      <c r="E179" s="1" t="s">
        <v>20</v>
      </c>
      <c r="F179" s="1">
        <v>9</v>
      </c>
      <c r="G179" s="1">
        <v>19155</v>
      </c>
      <c r="H179" s="2">
        <v>45104</v>
      </c>
      <c r="I179" s="1">
        <v>172395</v>
      </c>
      <c r="J179" s="1">
        <v>3831</v>
      </c>
      <c r="K179" s="1" t="s">
        <v>57</v>
      </c>
    </row>
    <row r="180" spans="1:11" x14ac:dyDescent="0.25">
      <c r="A180" s="1">
        <v>1179</v>
      </c>
      <c r="B180" s="1" t="s">
        <v>32</v>
      </c>
      <c r="C180" s="1" t="s">
        <v>15</v>
      </c>
      <c r="D180" s="1" t="s">
        <v>16</v>
      </c>
      <c r="E180" s="1" t="s">
        <v>17</v>
      </c>
      <c r="F180" s="1">
        <v>1</v>
      </c>
      <c r="G180" s="1">
        <v>11616</v>
      </c>
      <c r="H180" s="2">
        <v>45105</v>
      </c>
      <c r="I180" s="1">
        <v>11616</v>
      </c>
      <c r="J180" s="1">
        <v>2323.1999999999998</v>
      </c>
      <c r="K180" s="1" t="s">
        <v>58</v>
      </c>
    </row>
    <row r="181" spans="1:11" x14ac:dyDescent="0.25">
      <c r="A181" s="1">
        <v>1180</v>
      </c>
      <c r="B181" s="1" t="s">
        <v>30</v>
      </c>
      <c r="C181" s="1" t="s">
        <v>11</v>
      </c>
      <c r="D181" s="1" t="s">
        <v>16</v>
      </c>
      <c r="E181" s="1" t="s">
        <v>33</v>
      </c>
      <c r="F181" s="1">
        <v>4</v>
      </c>
      <c r="G181" s="1">
        <v>38129</v>
      </c>
      <c r="H181" s="2">
        <v>45106</v>
      </c>
      <c r="I181" s="1">
        <v>152516</v>
      </c>
      <c r="J181" s="1">
        <v>7625.8</v>
      </c>
      <c r="K181" s="1" t="s">
        <v>55</v>
      </c>
    </row>
    <row r="182" spans="1:11" x14ac:dyDescent="0.25">
      <c r="A182" s="1">
        <v>1181</v>
      </c>
      <c r="B182" s="1" t="s">
        <v>10</v>
      </c>
      <c r="C182" s="1" t="s">
        <v>27</v>
      </c>
      <c r="D182" s="1" t="s">
        <v>12</v>
      </c>
      <c r="E182" s="1" t="s">
        <v>13</v>
      </c>
      <c r="F182" s="1">
        <v>6</v>
      </c>
      <c r="G182" s="1">
        <v>40837</v>
      </c>
      <c r="H182" s="2">
        <v>45107</v>
      </c>
      <c r="I182" s="1">
        <v>245022</v>
      </c>
      <c r="J182" s="1">
        <v>8167.4</v>
      </c>
      <c r="K182" s="1" t="s">
        <v>56</v>
      </c>
    </row>
    <row r="183" spans="1:11" x14ac:dyDescent="0.25">
      <c r="A183" s="1">
        <v>1182</v>
      </c>
      <c r="B183" s="1" t="s">
        <v>21</v>
      </c>
      <c r="C183" s="1" t="s">
        <v>11</v>
      </c>
      <c r="D183" s="1" t="s">
        <v>19</v>
      </c>
      <c r="E183" s="1" t="s">
        <v>13</v>
      </c>
      <c r="F183" s="1">
        <v>6</v>
      </c>
      <c r="G183" s="1">
        <v>25574</v>
      </c>
      <c r="H183" s="2">
        <v>45108</v>
      </c>
      <c r="I183" s="1">
        <v>153444</v>
      </c>
      <c r="J183" s="1">
        <v>5114.8</v>
      </c>
      <c r="K183" s="1" t="s">
        <v>57</v>
      </c>
    </row>
    <row r="184" spans="1:11" x14ac:dyDescent="0.25">
      <c r="A184" s="1">
        <v>1183</v>
      </c>
      <c r="B184" s="1" t="s">
        <v>34</v>
      </c>
      <c r="C184" s="1" t="s">
        <v>24</v>
      </c>
      <c r="D184" s="1" t="s">
        <v>12</v>
      </c>
      <c r="E184" s="1" t="s">
        <v>28</v>
      </c>
      <c r="F184" s="1">
        <v>8</v>
      </c>
      <c r="G184" s="1">
        <v>4430</v>
      </c>
      <c r="H184" s="2">
        <v>45109</v>
      </c>
      <c r="I184" s="1">
        <v>35440</v>
      </c>
      <c r="J184" s="1">
        <v>886</v>
      </c>
      <c r="K184" s="1" t="s">
        <v>58</v>
      </c>
    </row>
    <row r="185" spans="1:11" x14ac:dyDescent="0.25">
      <c r="A185" s="1">
        <v>1184</v>
      </c>
      <c r="B185" s="1" t="s">
        <v>34</v>
      </c>
      <c r="C185" s="1" t="s">
        <v>24</v>
      </c>
      <c r="D185" s="1" t="s">
        <v>22</v>
      </c>
      <c r="E185" s="1" t="s">
        <v>29</v>
      </c>
      <c r="F185" s="1">
        <v>1</v>
      </c>
      <c r="G185" s="1">
        <v>13676</v>
      </c>
      <c r="H185" s="2">
        <v>45110</v>
      </c>
      <c r="I185" s="1">
        <v>13676</v>
      </c>
      <c r="J185" s="1">
        <v>2735.2</v>
      </c>
      <c r="K185" s="1" t="s">
        <v>55</v>
      </c>
    </row>
    <row r="186" spans="1:11" x14ac:dyDescent="0.25">
      <c r="A186" s="1">
        <v>1185</v>
      </c>
      <c r="B186" s="1" t="s">
        <v>26</v>
      </c>
      <c r="C186" s="1" t="s">
        <v>24</v>
      </c>
      <c r="D186" s="1" t="s">
        <v>12</v>
      </c>
      <c r="E186" s="1" t="s">
        <v>29</v>
      </c>
      <c r="F186" s="1">
        <v>7</v>
      </c>
      <c r="G186" s="1">
        <v>11816</v>
      </c>
      <c r="H186" s="2">
        <v>45111</v>
      </c>
      <c r="I186" s="1">
        <v>82712</v>
      </c>
      <c r="J186" s="1">
        <v>2363.1999999999998</v>
      </c>
      <c r="K186" s="1" t="s">
        <v>56</v>
      </c>
    </row>
    <row r="187" spans="1:11" x14ac:dyDescent="0.25">
      <c r="A187" s="1">
        <v>1186</v>
      </c>
      <c r="B187" s="1" t="s">
        <v>32</v>
      </c>
      <c r="C187" s="1" t="s">
        <v>15</v>
      </c>
      <c r="D187" s="1" t="s">
        <v>19</v>
      </c>
      <c r="E187" s="1" t="s">
        <v>20</v>
      </c>
      <c r="F187" s="1">
        <v>1</v>
      </c>
      <c r="G187" s="1">
        <v>33733</v>
      </c>
      <c r="H187" s="2">
        <v>45112</v>
      </c>
      <c r="I187" s="1">
        <v>33733</v>
      </c>
      <c r="J187" s="1">
        <v>6746.6</v>
      </c>
      <c r="K187" s="1" t="s">
        <v>57</v>
      </c>
    </row>
    <row r="188" spans="1:11" x14ac:dyDescent="0.25">
      <c r="A188" s="1">
        <v>1187</v>
      </c>
      <c r="B188" s="1" t="s">
        <v>21</v>
      </c>
      <c r="C188" s="1" t="s">
        <v>11</v>
      </c>
      <c r="D188" s="1" t="s">
        <v>16</v>
      </c>
      <c r="E188" s="1" t="s">
        <v>23</v>
      </c>
      <c r="F188" s="1">
        <v>7</v>
      </c>
      <c r="G188" s="1">
        <v>21144</v>
      </c>
      <c r="H188" s="2">
        <v>45113</v>
      </c>
      <c r="I188" s="1">
        <v>148008</v>
      </c>
      <c r="J188" s="1">
        <v>4228.8</v>
      </c>
      <c r="K188" s="1" t="s">
        <v>58</v>
      </c>
    </row>
    <row r="189" spans="1:11" x14ac:dyDescent="0.25">
      <c r="A189" s="1">
        <v>1188</v>
      </c>
      <c r="B189" s="1" t="s">
        <v>25</v>
      </c>
      <c r="C189" s="1" t="s">
        <v>15</v>
      </c>
      <c r="D189" s="1" t="s">
        <v>19</v>
      </c>
      <c r="E189" s="1" t="s">
        <v>31</v>
      </c>
      <c r="F189" s="1">
        <v>3</v>
      </c>
      <c r="G189" s="1">
        <v>3050</v>
      </c>
      <c r="H189" s="2">
        <v>45114</v>
      </c>
      <c r="I189" s="1">
        <v>9150</v>
      </c>
      <c r="J189" s="1">
        <v>610</v>
      </c>
      <c r="K189" s="1" t="s">
        <v>55</v>
      </c>
    </row>
    <row r="190" spans="1:11" x14ac:dyDescent="0.25">
      <c r="A190" s="1">
        <v>1189</v>
      </c>
      <c r="B190" s="1" t="s">
        <v>30</v>
      </c>
      <c r="C190" s="1" t="s">
        <v>15</v>
      </c>
      <c r="D190" s="1" t="s">
        <v>19</v>
      </c>
      <c r="E190" s="1" t="s">
        <v>20</v>
      </c>
      <c r="F190" s="1">
        <v>8</v>
      </c>
      <c r="G190" s="1">
        <v>45460</v>
      </c>
      <c r="H190" s="2">
        <v>45115</v>
      </c>
      <c r="I190" s="1">
        <v>363680</v>
      </c>
      <c r="J190" s="1">
        <v>9092</v>
      </c>
      <c r="K190" s="1" t="s">
        <v>56</v>
      </c>
    </row>
    <row r="191" spans="1:11" x14ac:dyDescent="0.25">
      <c r="A191" s="1">
        <v>1190</v>
      </c>
      <c r="B191" s="1" t="s">
        <v>10</v>
      </c>
      <c r="C191" s="1" t="s">
        <v>24</v>
      </c>
      <c r="D191" s="1" t="s">
        <v>19</v>
      </c>
      <c r="E191" s="1" t="s">
        <v>33</v>
      </c>
      <c r="F191" s="1">
        <v>3</v>
      </c>
      <c r="G191" s="1">
        <v>34933</v>
      </c>
      <c r="H191" s="2">
        <v>45116</v>
      </c>
      <c r="I191" s="1">
        <v>104799</v>
      </c>
      <c r="J191" s="1">
        <v>6986.6</v>
      </c>
      <c r="K191" s="1" t="s">
        <v>57</v>
      </c>
    </row>
    <row r="192" spans="1:11" x14ac:dyDescent="0.25">
      <c r="A192" s="1">
        <v>1191</v>
      </c>
      <c r="B192" s="1" t="s">
        <v>14</v>
      </c>
      <c r="C192" s="1" t="s">
        <v>24</v>
      </c>
      <c r="D192" s="1" t="s">
        <v>16</v>
      </c>
      <c r="E192" s="1" t="s">
        <v>17</v>
      </c>
      <c r="F192" s="1">
        <v>1</v>
      </c>
      <c r="G192" s="1">
        <v>25951</v>
      </c>
      <c r="H192" s="2">
        <v>45117</v>
      </c>
      <c r="I192" s="1">
        <v>25951</v>
      </c>
      <c r="J192" s="1">
        <v>5190.2</v>
      </c>
      <c r="K192" s="1" t="s">
        <v>58</v>
      </c>
    </row>
    <row r="193" spans="1:11" x14ac:dyDescent="0.25">
      <c r="A193" s="1">
        <v>1192</v>
      </c>
      <c r="B193" s="1" t="s">
        <v>10</v>
      </c>
      <c r="C193" s="1" t="s">
        <v>15</v>
      </c>
      <c r="D193" s="1" t="s">
        <v>19</v>
      </c>
      <c r="E193" s="1" t="s">
        <v>13</v>
      </c>
      <c r="F193" s="1">
        <v>8</v>
      </c>
      <c r="G193" s="1">
        <v>33413</v>
      </c>
      <c r="H193" s="2">
        <v>45118</v>
      </c>
      <c r="I193" s="1">
        <v>267304</v>
      </c>
      <c r="J193" s="1">
        <v>6682.6</v>
      </c>
      <c r="K193" s="1" t="s">
        <v>55</v>
      </c>
    </row>
    <row r="194" spans="1:11" x14ac:dyDescent="0.25">
      <c r="A194" s="1">
        <v>1193</v>
      </c>
      <c r="B194" s="1" t="s">
        <v>18</v>
      </c>
      <c r="C194" s="1" t="s">
        <v>11</v>
      </c>
      <c r="D194" s="1" t="s">
        <v>19</v>
      </c>
      <c r="E194" s="1" t="s">
        <v>20</v>
      </c>
      <c r="F194" s="1">
        <v>3</v>
      </c>
      <c r="G194" s="1">
        <v>35801</v>
      </c>
      <c r="H194" s="2">
        <v>45119</v>
      </c>
      <c r="I194" s="1">
        <v>107403</v>
      </c>
      <c r="J194" s="1">
        <v>7160.2</v>
      </c>
      <c r="K194" s="1" t="s">
        <v>56</v>
      </c>
    </row>
    <row r="195" spans="1:11" x14ac:dyDescent="0.25">
      <c r="A195" s="1">
        <v>1194</v>
      </c>
      <c r="B195" s="1" t="s">
        <v>34</v>
      </c>
      <c r="C195" s="1" t="s">
        <v>27</v>
      </c>
      <c r="D195" s="1" t="s">
        <v>19</v>
      </c>
      <c r="E195" s="1" t="s">
        <v>31</v>
      </c>
      <c r="F195" s="1">
        <v>2</v>
      </c>
      <c r="G195" s="1">
        <v>33913</v>
      </c>
      <c r="H195" s="2">
        <v>45120</v>
      </c>
      <c r="I195" s="1">
        <v>67826</v>
      </c>
      <c r="J195" s="1">
        <v>6782.6</v>
      </c>
      <c r="K195" s="1" t="s">
        <v>57</v>
      </c>
    </row>
    <row r="196" spans="1:11" x14ac:dyDescent="0.25">
      <c r="A196" s="1">
        <v>1195</v>
      </c>
      <c r="B196" s="1" t="s">
        <v>30</v>
      </c>
      <c r="C196" s="1" t="s">
        <v>15</v>
      </c>
      <c r="D196" s="1" t="s">
        <v>22</v>
      </c>
      <c r="E196" s="1" t="s">
        <v>31</v>
      </c>
      <c r="F196" s="1">
        <v>1</v>
      </c>
      <c r="G196" s="1">
        <v>48037</v>
      </c>
      <c r="H196" s="2">
        <v>45121</v>
      </c>
      <c r="I196" s="1">
        <v>48037</v>
      </c>
      <c r="J196" s="1">
        <v>9607.4</v>
      </c>
      <c r="K196" s="1" t="s">
        <v>58</v>
      </c>
    </row>
    <row r="197" spans="1:11" x14ac:dyDescent="0.25">
      <c r="A197" s="1">
        <v>1196</v>
      </c>
      <c r="B197" s="1" t="s">
        <v>18</v>
      </c>
      <c r="C197" s="1" t="s">
        <v>11</v>
      </c>
      <c r="D197" s="1" t="s">
        <v>19</v>
      </c>
      <c r="E197" s="1" t="s">
        <v>20</v>
      </c>
      <c r="F197" s="1">
        <v>3</v>
      </c>
      <c r="G197" s="1">
        <v>41600</v>
      </c>
      <c r="H197" s="2">
        <v>45122</v>
      </c>
      <c r="I197" s="1">
        <v>124800</v>
      </c>
      <c r="J197" s="1">
        <v>8320</v>
      </c>
      <c r="K197" s="1" t="s">
        <v>55</v>
      </c>
    </row>
    <row r="198" spans="1:11" x14ac:dyDescent="0.25">
      <c r="A198" s="1">
        <v>1197</v>
      </c>
      <c r="B198" s="1" t="s">
        <v>21</v>
      </c>
      <c r="C198" s="1" t="s">
        <v>24</v>
      </c>
      <c r="D198" s="1" t="s">
        <v>16</v>
      </c>
      <c r="E198" s="1" t="s">
        <v>28</v>
      </c>
      <c r="F198" s="1">
        <v>2</v>
      </c>
      <c r="G198" s="1">
        <v>26280</v>
      </c>
      <c r="H198" s="2">
        <v>45123</v>
      </c>
      <c r="I198" s="1">
        <v>52560</v>
      </c>
      <c r="J198" s="1">
        <v>5256</v>
      </c>
      <c r="K198" s="1" t="s">
        <v>56</v>
      </c>
    </row>
    <row r="199" spans="1:11" x14ac:dyDescent="0.25">
      <c r="A199" s="1">
        <v>1198</v>
      </c>
      <c r="B199" s="1" t="s">
        <v>14</v>
      </c>
      <c r="C199" s="1" t="s">
        <v>24</v>
      </c>
      <c r="D199" s="1" t="s">
        <v>19</v>
      </c>
      <c r="E199" s="1" t="s">
        <v>13</v>
      </c>
      <c r="F199" s="1">
        <v>2</v>
      </c>
      <c r="G199" s="1">
        <v>25557</v>
      </c>
      <c r="H199" s="2">
        <v>45124</v>
      </c>
      <c r="I199" s="1">
        <v>51114</v>
      </c>
      <c r="J199" s="1">
        <v>5111.3999999999996</v>
      </c>
      <c r="K199" s="1" t="s">
        <v>57</v>
      </c>
    </row>
    <row r="200" spans="1:11" x14ac:dyDescent="0.25">
      <c r="A200" s="1">
        <v>1199</v>
      </c>
      <c r="B200" s="1" t="s">
        <v>32</v>
      </c>
      <c r="C200" s="1" t="s">
        <v>11</v>
      </c>
      <c r="D200" s="1" t="s">
        <v>19</v>
      </c>
      <c r="E200" s="1" t="s">
        <v>28</v>
      </c>
      <c r="F200" s="1">
        <v>6</v>
      </c>
      <c r="G200" s="1">
        <v>48054</v>
      </c>
      <c r="H200" s="2">
        <v>45125</v>
      </c>
      <c r="I200" s="1">
        <v>288324</v>
      </c>
      <c r="J200" s="1">
        <v>9610.7999999999993</v>
      </c>
      <c r="K200" s="1" t="s">
        <v>58</v>
      </c>
    </row>
    <row r="201" spans="1:11" x14ac:dyDescent="0.25">
      <c r="A201" s="1">
        <v>1200</v>
      </c>
      <c r="B201" s="1" t="s">
        <v>30</v>
      </c>
      <c r="C201" s="1" t="s">
        <v>27</v>
      </c>
      <c r="D201" s="1" t="s">
        <v>16</v>
      </c>
      <c r="E201" s="1" t="s">
        <v>17</v>
      </c>
      <c r="F201" s="1">
        <v>1</v>
      </c>
      <c r="G201" s="1">
        <v>36400</v>
      </c>
      <c r="H201" s="2">
        <v>45126</v>
      </c>
      <c r="I201" s="1">
        <v>36400</v>
      </c>
      <c r="J201" s="1">
        <v>7280</v>
      </c>
      <c r="K201" s="1" t="s">
        <v>55</v>
      </c>
    </row>
    <row r="202" spans="1:11" x14ac:dyDescent="0.25">
      <c r="A202" s="1">
        <v>1201</v>
      </c>
      <c r="B202" s="1" t="s">
        <v>30</v>
      </c>
      <c r="C202" s="1" t="s">
        <v>24</v>
      </c>
      <c r="D202" s="1" t="s">
        <v>19</v>
      </c>
      <c r="E202" s="1" t="s">
        <v>31</v>
      </c>
      <c r="F202" s="1">
        <v>2</v>
      </c>
      <c r="G202" s="1">
        <v>5494</v>
      </c>
      <c r="H202" s="2">
        <v>45127</v>
      </c>
      <c r="I202" s="1">
        <v>10988</v>
      </c>
      <c r="J202" s="1">
        <v>1098.8</v>
      </c>
      <c r="K202" s="1" t="s">
        <v>56</v>
      </c>
    </row>
    <row r="203" spans="1:11" x14ac:dyDescent="0.25">
      <c r="A203" s="1">
        <v>1202</v>
      </c>
      <c r="B203" s="1" t="s">
        <v>34</v>
      </c>
      <c r="C203" s="1" t="s">
        <v>24</v>
      </c>
      <c r="D203" s="1" t="s">
        <v>16</v>
      </c>
      <c r="E203" s="1" t="s">
        <v>31</v>
      </c>
      <c r="F203" s="1">
        <v>6</v>
      </c>
      <c r="G203" s="1">
        <v>16152</v>
      </c>
      <c r="H203" s="2">
        <v>45128</v>
      </c>
      <c r="I203" s="1">
        <v>96912</v>
      </c>
      <c r="J203" s="1">
        <v>3230.4</v>
      </c>
      <c r="K203" s="1" t="s">
        <v>57</v>
      </c>
    </row>
    <row r="204" spans="1:11" x14ac:dyDescent="0.25">
      <c r="A204" s="1">
        <v>1203</v>
      </c>
      <c r="B204" s="1" t="s">
        <v>35</v>
      </c>
      <c r="C204" s="1" t="s">
        <v>24</v>
      </c>
      <c r="D204" s="1" t="s">
        <v>19</v>
      </c>
      <c r="E204" s="1" t="s">
        <v>33</v>
      </c>
      <c r="F204" s="1">
        <v>3</v>
      </c>
      <c r="G204" s="1">
        <v>24895</v>
      </c>
      <c r="H204" s="2">
        <v>45129</v>
      </c>
      <c r="I204" s="1">
        <v>74685</v>
      </c>
      <c r="J204" s="1">
        <v>4979</v>
      </c>
      <c r="K204" s="1" t="s">
        <v>58</v>
      </c>
    </row>
    <row r="205" spans="1:11" x14ac:dyDescent="0.25">
      <c r="A205" s="1">
        <v>1204</v>
      </c>
      <c r="B205" s="1" t="s">
        <v>30</v>
      </c>
      <c r="C205" s="1" t="s">
        <v>11</v>
      </c>
      <c r="D205" s="1" t="s">
        <v>16</v>
      </c>
      <c r="E205" s="1" t="s">
        <v>17</v>
      </c>
      <c r="F205" s="1">
        <v>4</v>
      </c>
      <c r="G205" s="1">
        <v>10155</v>
      </c>
      <c r="H205" s="2">
        <v>45130</v>
      </c>
      <c r="I205" s="1">
        <v>40620</v>
      </c>
      <c r="J205" s="1">
        <v>2031</v>
      </c>
      <c r="K205" s="1" t="s">
        <v>55</v>
      </c>
    </row>
    <row r="206" spans="1:11" x14ac:dyDescent="0.25">
      <c r="A206" s="1">
        <v>1205</v>
      </c>
      <c r="B206" s="1" t="s">
        <v>26</v>
      </c>
      <c r="C206" s="1" t="s">
        <v>15</v>
      </c>
      <c r="D206" s="1" t="s">
        <v>19</v>
      </c>
      <c r="E206" s="1" t="s">
        <v>31</v>
      </c>
      <c r="F206" s="1">
        <v>1</v>
      </c>
      <c r="G206" s="1">
        <v>32883</v>
      </c>
      <c r="H206" s="2">
        <v>45131</v>
      </c>
      <c r="I206" s="1">
        <v>32883</v>
      </c>
      <c r="J206" s="1">
        <v>6576.6</v>
      </c>
      <c r="K206" s="1" t="s">
        <v>56</v>
      </c>
    </row>
    <row r="207" spans="1:11" x14ac:dyDescent="0.25">
      <c r="A207" s="1">
        <v>1206</v>
      </c>
      <c r="B207" s="1" t="s">
        <v>14</v>
      </c>
      <c r="C207" s="1" t="s">
        <v>24</v>
      </c>
      <c r="D207" s="1" t="s">
        <v>19</v>
      </c>
      <c r="E207" s="1" t="s">
        <v>17</v>
      </c>
      <c r="F207" s="1">
        <v>8</v>
      </c>
      <c r="G207" s="1">
        <v>44194</v>
      </c>
      <c r="H207" s="2">
        <v>45132</v>
      </c>
      <c r="I207" s="1">
        <v>353552</v>
      </c>
      <c r="J207" s="1">
        <v>8838.7999999999993</v>
      </c>
      <c r="K207" s="1" t="s">
        <v>57</v>
      </c>
    </row>
    <row r="208" spans="1:11" x14ac:dyDescent="0.25">
      <c r="A208" s="1">
        <v>1207</v>
      </c>
      <c r="B208" s="1" t="s">
        <v>14</v>
      </c>
      <c r="C208" s="1" t="s">
        <v>15</v>
      </c>
      <c r="D208" s="1" t="s">
        <v>22</v>
      </c>
      <c r="E208" s="1" t="s">
        <v>13</v>
      </c>
      <c r="F208" s="1">
        <v>7</v>
      </c>
      <c r="G208" s="1">
        <v>44001</v>
      </c>
      <c r="H208" s="2">
        <v>45133</v>
      </c>
      <c r="I208" s="1">
        <v>308007</v>
      </c>
      <c r="J208" s="1">
        <v>8800.2000000000007</v>
      </c>
      <c r="K208" s="1" t="s">
        <v>58</v>
      </c>
    </row>
    <row r="209" spans="1:11" x14ac:dyDescent="0.25">
      <c r="A209" s="1">
        <v>1208</v>
      </c>
      <c r="B209" s="1" t="s">
        <v>26</v>
      </c>
      <c r="C209" s="1" t="s">
        <v>27</v>
      </c>
      <c r="D209" s="1" t="s">
        <v>22</v>
      </c>
      <c r="E209" s="1" t="s">
        <v>29</v>
      </c>
      <c r="F209" s="1">
        <v>7</v>
      </c>
      <c r="G209" s="1">
        <v>2828</v>
      </c>
      <c r="H209" s="2">
        <v>45134</v>
      </c>
      <c r="I209" s="1">
        <v>19796</v>
      </c>
      <c r="J209" s="1">
        <v>565.6</v>
      </c>
      <c r="K209" s="1" t="s">
        <v>55</v>
      </c>
    </row>
    <row r="210" spans="1:11" x14ac:dyDescent="0.25">
      <c r="A210" s="1">
        <v>1209</v>
      </c>
      <c r="B210" s="1" t="s">
        <v>25</v>
      </c>
      <c r="C210" s="1" t="s">
        <v>24</v>
      </c>
      <c r="D210" s="1" t="s">
        <v>19</v>
      </c>
      <c r="E210" s="1" t="s">
        <v>31</v>
      </c>
      <c r="F210" s="1">
        <v>3</v>
      </c>
      <c r="G210" s="1">
        <v>46028</v>
      </c>
      <c r="H210" s="2">
        <v>45135</v>
      </c>
      <c r="I210" s="1">
        <v>138084</v>
      </c>
      <c r="J210" s="1">
        <v>9205.6</v>
      </c>
      <c r="K210" s="1" t="s">
        <v>56</v>
      </c>
    </row>
    <row r="211" spans="1:11" x14ac:dyDescent="0.25">
      <c r="A211" s="1">
        <v>1210</v>
      </c>
      <c r="B211" s="1" t="s">
        <v>26</v>
      </c>
      <c r="C211" s="1" t="s">
        <v>24</v>
      </c>
      <c r="D211" s="1" t="s">
        <v>19</v>
      </c>
      <c r="E211" s="1" t="s">
        <v>33</v>
      </c>
      <c r="F211" s="1">
        <v>3</v>
      </c>
      <c r="G211" s="1">
        <v>42898</v>
      </c>
      <c r="H211" s="2">
        <v>45136</v>
      </c>
      <c r="I211" s="1">
        <v>128694</v>
      </c>
      <c r="J211" s="1">
        <v>8579.6</v>
      </c>
      <c r="K211" s="1" t="s">
        <v>57</v>
      </c>
    </row>
    <row r="212" spans="1:11" x14ac:dyDescent="0.25">
      <c r="A212" s="1">
        <v>1211</v>
      </c>
      <c r="B212" s="1" t="s">
        <v>26</v>
      </c>
      <c r="C212" s="1" t="s">
        <v>27</v>
      </c>
      <c r="D212" s="1" t="s">
        <v>12</v>
      </c>
      <c r="E212" s="1" t="s">
        <v>13</v>
      </c>
      <c r="F212" s="1">
        <v>2</v>
      </c>
      <c r="G212" s="1">
        <v>33123</v>
      </c>
      <c r="H212" s="2">
        <v>45137</v>
      </c>
      <c r="I212" s="1">
        <v>66246</v>
      </c>
      <c r="J212" s="1">
        <v>6624.6</v>
      </c>
      <c r="K212" s="1" t="s">
        <v>58</v>
      </c>
    </row>
    <row r="213" spans="1:11" x14ac:dyDescent="0.25">
      <c r="A213" s="1">
        <v>1212</v>
      </c>
      <c r="B213" s="1" t="s">
        <v>14</v>
      </c>
      <c r="C213" s="1" t="s">
        <v>24</v>
      </c>
      <c r="D213" s="1" t="s">
        <v>16</v>
      </c>
      <c r="E213" s="1" t="s">
        <v>20</v>
      </c>
      <c r="F213" s="1">
        <v>1</v>
      </c>
      <c r="G213" s="1">
        <v>38573</v>
      </c>
      <c r="H213" s="2">
        <v>45138</v>
      </c>
      <c r="I213" s="1">
        <v>38573</v>
      </c>
      <c r="J213" s="1">
        <v>7714.6</v>
      </c>
      <c r="K213" s="1" t="s">
        <v>55</v>
      </c>
    </row>
    <row r="214" spans="1:11" x14ac:dyDescent="0.25">
      <c r="A214" s="1">
        <v>1213</v>
      </c>
      <c r="B214" s="1" t="s">
        <v>10</v>
      </c>
      <c r="C214" s="1" t="s">
        <v>15</v>
      </c>
      <c r="D214" s="1" t="s">
        <v>12</v>
      </c>
      <c r="E214" s="1" t="s">
        <v>17</v>
      </c>
      <c r="F214" s="1">
        <v>7</v>
      </c>
      <c r="G214" s="1">
        <v>1806</v>
      </c>
      <c r="H214" s="2">
        <v>45139</v>
      </c>
      <c r="I214" s="1">
        <v>12642</v>
      </c>
      <c r="J214" s="1">
        <v>361.2</v>
      </c>
      <c r="K214" s="1" t="s">
        <v>56</v>
      </c>
    </row>
    <row r="215" spans="1:11" x14ac:dyDescent="0.25">
      <c r="A215" s="1">
        <v>1214</v>
      </c>
      <c r="B215" s="1" t="s">
        <v>14</v>
      </c>
      <c r="C215" s="1" t="s">
        <v>11</v>
      </c>
      <c r="D215" s="1" t="s">
        <v>22</v>
      </c>
      <c r="E215" s="1" t="s">
        <v>20</v>
      </c>
      <c r="F215" s="1">
        <v>7</v>
      </c>
      <c r="G215" s="1">
        <v>41970</v>
      </c>
      <c r="H215" s="2">
        <v>45140</v>
      </c>
      <c r="I215" s="1">
        <v>293790</v>
      </c>
      <c r="J215" s="1">
        <v>8394</v>
      </c>
      <c r="K215" s="1" t="s">
        <v>57</v>
      </c>
    </row>
    <row r="216" spans="1:11" x14ac:dyDescent="0.25">
      <c r="A216" s="1">
        <v>1215</v>
      </c>
      <c r="B216" s="1" t="s">
        <v>35</v>
      </c>
      <c r="C216" s="1" t="s">
        <v>15</v>
      </c>
      <c r="D216" s="1" t="s">
        <v>22</v>
      </c>
      <c r="E216" s="1" t="s">
        <v>28</v>
      </c>
      <c r="F216" s="1">
        <v>2</v>
      </c>
      <c r="G216" s="1">
        <v>30757</v>
      </c>
      <c r="H216" s="2">
        <v>45141</v>
      </c>
      <c r="I216" s="1">
        <v>61514</v>
      </c>
      <c r="J216" s="1">
        <v>6151.4</v>
      </c>
      <c r="K216" s="1" t="s">
        <v>58</v>
      </c>
    </row>
    <row r="217" spans="1:11" x14ac:dyDescent="0.25">
      <c r="A217" s="1">
        <v>1216</v>
      </c>
      <c r="B217" s="1" t="s">
        <v>34</v>
      </c>
      <c r="C217" s="1" t="s">
        <v>11</v>
      </c>
      <c r="D217" s="1" t="s">
        <v>22</v>
      </c>
      <c r="E217" s="1" t="s">
        <v>13</v>
      </c>
      <c r="F217" s="1">
        <v>7</v>
      </c>
      <c r="G217" s="1">
        <v>35636</v>
      </c>
      <c r="H217" s="2">
        <v>45142</v>
      </c>
      <c r="I217" s="1">
        <v>249452</v>
      </c>
      <c r="J217" s="1">
        <v>7127.2</v>
      </c>
      <c r="K217" s="1" t="s">
        <v>55</v>
      </c>
    </row>
    <row r="218" spans="1:11" x14ac:dyDescent="0.25">
      <c r="A218" s="1">
        <v>1217</v>
      </c>
      <c r="B218" s="1" t="s">
        <v>18</v>
      </c>
      <c r="C218" s="1" t="s">
        <v>11</v>
      </c>
      <c r="D218" s="1" t="s">
        <v>22</v>
      </c>
      <c r="E218" s="1" t="s">
        <v>20</v>
      </c>
      <c r="F218" s="1">
        <v>8</v>
      </c>
      <c r="G218" s="1">
        <v>15561</v>
      </c>
      <c r="H218" s="2">
        <v>45143</v>
      </c>
      <c r="I218" s="1">
        <v>124488</v>
      </c>
      <c r="J218" s="1">
        <v>3112.2</v>
      </c>
      <c r="K218" s="1" t="s">
        <v>56</v>
      </c>
    </row>
    <row r="219" spans="1:11" x14ac:dyDescent="0.25">
      <c r="A219" s="1">
        <v>1218</v>
      </c>
      <c r="B219" s="1" t="s">
        <v>10</v>
      </c>
      <c r="C219" s="1" t="s">
        <v>15</v>
      </c>
      <c r="D219" s="1" t="s">
        <v>19</v>
      </c>
      <c r="E219" s="1" t="s">
        <v>23</v>
      </c>
      <c r="F219" s="1">
        <v>1</v>
      </c>
      <c r="G219" s="1">
        <v>49280</v>
      </c>
      <c r="H219" s="2">
        <v>45144</v>
      </c>
      <c r="I219" s="1">
        <v>49280</v>
      </c>
      <c r="J219" s="1">
        <v>9856</v>
      </c>
      <c r="K219" s="1" t="s">
        <v>57</v>
      </c>
    </row>
    <row r="220" spans="1:11" x14ac:dyDescent="0.25">
      <c r="A220" s="1">
        <v>1219</v>
      </c>
      <c r="B220" s="1" t="s">
        <v>32</v>
      </c>
      <c r="C220" s="1" t="s">
        <v>15</v>
      </c>
      <c r="D220" s="1" t="s">
        <v>22</v>
      </c>
      <c r="E220" s="1" t="s">
        <v>23</v>
      </c>
      <c r="F220" s="1">
        <v>9</v>
      </c>
      <c r="G220" s="1">
        <v>25262</v>
      </c>
      <c r="H220" s="2">
        <v>45145</v>
      </c>
      <c r="I220" s="1">
        <v>227358</v>
      </c>
      <c r="J220" s="1">
        <v>5052.3999999999996</v>
      </c>
      <c r="K220" s="1" t="s">
        <v>58</v>
      </c>
    </row>
    <row r="221" spans="1:11" x14ac:dyDescent="0.25">
      <c r="A221" s="1">
        <v>1220</v>
      </c>
      <c r="B221" s="1" t="s">
        <v>18</v>
      </c>
      <c r="C221" s="1" t="s">
        <v>15</v>
      </c>
      <c r="D221" s="1" t="s">
        <v>19</v>
      </c>
      <c r="E221" s="1" t="s">
        <v>31</v>
      </c>
      <c r="F221" s="1">
        <v>7</v>
      </c>
      <c r="G221" s="1">
        <v>15899</v>
      </c>
      <c r="H221" s="2">
        <v>45146</v>
      </c>
      <c r="I221" s="1">
        <v>111293</v>
      </c>
      <c r="J221" s="1">
        <v>3179.8</v>
      </c>
      <c r="K221" s="1" t="s">
        <v>55</v>
      </c>
    </row>
    <row r="222" spans="1:11" x14ac:dyDescent="0.25">
      <c r="A222" s="1">
        <v>1221</v>
      </c>
      <c r="B222" s="1" t="s">
        <v>34</v>
      </c>
      <c r="C222" s="1" t="s">
        <v>15</v>
      </c>
      <c r="D222" s="1" t="s">
        <v>19</v>
      </c>
      <c r="E222" s="1" t="s">
        <v>17</v>
      </c>
      <c r="F222" s="1">
        <v>3</v>
      </c>
      <c r="G222" s="1">
        <v>49988</v>
      </c>
      <c r="H222" s="2">
        <v>45147</v>
      </c>
      <c r="I222" s="1">
        <v>149964</v>
      </c>
      <c r="J222" s="1">
        <v>9997.6</v>
      </c>
      <c r="K222" s="1" t="s">
        <v>56</v>
      </c>
    </row>
    <row r="223" spans="1:11" x14ac:dyDescent="0.25">
      <c r="A223" s="1">
        <v>1222</v>
      </c>
      <c r="B223" s="1" t="s">
        <v>35</v>
      </c>
      <c r="C223" s="1" t="s">
        <v>27</v>
      </c>
      <c r="D223" s="1" t="s">
        <v>22</v>
      </c>
      <c r="E223" s="1" t="s">
        <v>29</v>
      </c>
      <c r="F223" s="1">
        <v>8</v>
      </c>
      <c r="G223" s="1">
        <v>16934</v>
      </c>
      <c r="H223" s="2">
        <v>45148</v>
      </c>
      <c r="I223" s="1">
        <v>135472</v>
      </c>
      <c r="J223" s="1">
        <v>3386.8</v>
      </c>
      <c r="K223" s="1" t="s">
        <v>57</v>
      </c>
    </row>
    <row r="224" spans="1:11" x14ac:dyDescent="0.25">
      <c r="A224" s="1">
        <v>1223</v>
      </c>
      <c r="B224" s="1" t="s">
        <v>35</v>
      </c>
      <c r="C224" s="1" t="s">
        <v>24</v>
      </c>
      <c r="D224" s="1" t="s">
        <v>22</v>
      </c>
      <c r="E224" s="1" t="s">
        <v>13</v>
      </c>
      <c r="F224" s="1">
        <v>7</v>
      </c>
      <c r="G224" s="1">
        <v>39197</v>
      </c>
      <c r="H224" s="2">
        <v>45149</v>
      </c>
      <c r="I224" s="1">
        <v>274379</v>
      </c>
      <c r="J224" s="1">
        <v>7839.4</v>
      </c>
      <c r="K224" s="1" t="s">
        <v>58</v>
      </c>
    </row>
    <row r="225" spans="1:11" x14ac:dyDescent="0.25">
      <c r="A225" s="1">
        <v>1224</v>
      </c>
      <c r="B225" s="1" t="s">
        <v>32</v>
      </c>
      <c r="C225" s="1" t="s">
        <v>11</v>
      </c>
      <c r="D225" s="1" t="s">
        <v>16</v>
      </c>
      <c r="E225" s="1" t="s">
        <v>31</v>
      </c>
      <c r="F225" s="1">
        <v>8</v>
      </c>
      <c r="G225" s="1">
        <v>42844</v>
      </c>
      <c r="H225" s="2">
        <v>45150</v>
      </c>
      <c r="I225" s="1">
        <v>342752</v>
      </c>
      <c r="J225" s="1">
        <v>8568.7999999999993</v>
      </c>
      <c r="K225" s="1" t="s">
        <v>55</v>
      </c>
    </row>
    <row r="226" spans="1:11" x14ac:dyDescent="0.25">
      <c r="A226" s="1">
        <v>1225</v>
      </c>
      <c r="B226" s="1" t="s">
        <v>10</v>
      </c>
      <c r="C226" s="1" t="s">
        <v>15</v>
      </c>
      <c r="D226" s="1" t="s">
        <v>12</v>
      </c>
      <c r="E226" s="1" t="s">
        <v>33</v>
      </c>
      <c r="F226" s="1">
        <v>6</v>
      </c>
      <c r="G226" s="1">
        <v>37332</v>
      </c>
      <c r="H226" s="2">
        <v>45151</v>
      </c>
      <c r="I226" s="1">
        <v>223992</v>
      </c>
      <c r="J226" s="1">
        <v>7466.4</v>
      </c>
      <c r="K226" s="1" t="s">
        <v>56</v>
      </c>
    </row>
    <row r="227" spans="1:11" x14ac:dyDescent="0.25">
      <c r="A227" s="1">
        <v>1226</v>
      </c>
      <c r="B227" s="1" t="s">
        <v>25</v>
      </c>
      <c r="C227" s="1" t="s">
        <v>15</v>
      </c>
      <c r="D227" s="1" t="s">
        <v>22</v>
      </c>
      <c r="E227" s="1" t="s">
        <v>28</v>
      </c>
      <c r="F227" s="1">
        <v>9</v>
      </c>
      <c r="G227" s="1">
        <v>35157</v>
      </c>
      <c r="H227" s="2">
        <v>45152</v>
      </c>
      <c r="I227" s="1">
        <v>316413</v>
      </c>
      <c r="J227" s="1">
        <v>7031.4</v>
      </c>
      <c r="K227" s="1" t="s">
        <v>57</v>
      </c>
    </row>
    <row r="228" spans="1:11" x14ac:dyDescent="0.25">
      <c r="A228" s="1">
        <v>1227</v>
      </c>
      <c r="B228" s="1" t="s">
        <v>26</v>
      </c>
      <c r="C228" s="1" t="s">
        <v>15</v>
      </c>
      <c r="D228" s="1" t="s">
        <v>16</v>
      </c>
      <c r="E228" s="1" t="s">
        <v>17</v>
      </c>
      <c r="F228" s="1">
        <v>5</v>
      </c>
      <c r="G228" s="1">
        <v>12593</v>
      </c>
      <c r="H228" s="2">
        <v>45153</v>
      </c>
      <c r="I228" s="1">
        <v>62965</v>
      </c>
      <c r="J228" s="1">
        <v>2518.6</v>
      </c>
      <c r="K228" s="1" t="s">
        <v>58</v>
      </c>
    </row>
    <row r="229" spans="1:11" x14ac:dyDescent="0.25">
      <c r="A229" s="1">
        <v>1228</v>
      </c>
      <c r="B229" s="1" t="s">
        <v>10</v>
      </c>
      <c r="C229" s="1" t="s">
        <v>27</v>
      </c>
      <c r="D229" s="1" t="s">
        <v>16</v>
      </c>
      <c r="E229" s="1" t="s">
        <v>13</v>
      </c>
      <c r="F229" s="1">
        <v>3</v>
      </c>
      <c r="G229" s="1">
        <v>41042</v>
      </c>
      <c r="H229" s="2">
        <v>45154</v>
      </c>
      <c r="I229" s="1">
        <v>123126</v>
      </c>
      <c r="J229" s="1">
        <v>8208.4</v>
      </c>
      <c r="K229" s="1" t="s">
        <v>55</v>
      </c>
    </row>
    <row r="230" spans="1:11" x14ac:dyDescent="0.25">
      <c r="A230" s="1">
        <v>1229</v>
      </c>
      <c r="B230" s="1" t="s">
        <v>25</v>
      </c>
      <c r="C230" s="1" t="s">
        <v>15</v>
      </c>
      <c r="D230" s="1" t="s">
        <v>12</v>
      </c>
      <c r="E230" s="1" t="s">
        <v>23</v>
      </c>
      <c r="F230" s="1">
        <v>3</v>
      </c>
      <c r="G230" s="1">
        <v>18320</v>
      </c>
      <c r="H230" s="2">
        <v>45155</v>
      </c>
      <c r="I230" s="1">
        <v>54960</v>
      </c>
      <c r="J230" s="1">
        <v>3664</v>
      </c>
      <c r="K230" s="1" t="s">
        <v>56</v>
      </c>
    </row>
    <row r="231" spans="1:11" x14ac:dyDescent="0.25">
      <c r="A231" s="1">
        <v>1230</v>
      </c>
      <c r="B231" s="1" t="s">
        <v>35</v>
      </c>
      <c r="C231" s="1" t="s">
        <v>15</v>
      </c>
      <c r="D231" s="1" t="s">
        <v>19</v>
      </c>
      <c r="E231" s="1" t="s">
        <v>13</v>
      </c>
      <c r="F231" s="1">
        <v>1</v>
      </c>
      <c r="G231" s="1">
        <v>28376</v>
      </c>
      <c r="H231" s="2">
        <v>45156</v>
      </c>
      <c r="I231" s="1">
        <v>28376</v>
      </c>
      <c r="J231" s="1">
        <v>5675.2</v>
      </c>
      <c r="K231" s="1" t="s">
        <v>57</v>
      </c>
    </row>
    <row r="232" spans="1:11" x14ac:dyDescent="0.25">
      <c r="A232" s="1">
        <v>1231</v>
      </c>
      <c r="B232" s="1" t="s">
        <v>14</v>
      </c>
      <c r="C232" s="1" t="s">
        <v>15</v>
      </c>
      <c r="D232" s="1" t="s">
        <v>22</v>
      </c>
      <c r="E232" s="1" t="s">
        <v>29</v>
      </c>
      <c r="F232" s="1">
        <v>8</v>
      </c>
      <c r="G232" s="1">
        <v>44513</v>
      </c>
      <c r="H232" s="2">
        <v>45157</v>
      </c>
      <c r="I232" s="1">
        <v>356104</v>
      </c>
      <c r="J232" s="1">
        <v>8902.6</v>
      </c>
      <c r="K232" s="1" t="s">
        <v>58</v>
      </c>
    </row>
    <row r="233" spans="1:11" x14ac:dyDescent="0.25">
      <c r="A233" s="1">
        <v>1232</v>
      </c>
      <c r="B233" s="1" t="s">
        <v>34</v>
      </c>
      <c r="C233" s="1" t="s">
        <v>24</v>
      </c>
      <c r="D233" s="1" t="s">
        <v>12</v>
      </c>
      <c r="E233" s="1" t="s">
        <v>23</v>
      </c>
      <c r="F233" s="1">
        <v>2</v>
      </c>
      <c r="G233" s="1">
        <v>15199</v>
      </c>
      <c r="H233" s="2">
        <v>45158</v>
      </c>
      <c r="I233" s="1">
        <v>30398</v>
      </c>
      <c r="J233" s="1">
        <v>3039.8</v>
      </c>
      <c r="K233" s="1" t="s">
        <v>55</v>
      </c>
    </row>
    <row r="234" spans="1:11" x14ac:dyDescent="0.25">
      <c r="A234" s="1">
        <v>1233</v>
      </c>
      <c r="B234" s="1" t="s">
        <v>32</v>
      </c>
      <c r="C234" s="1" t="s">
        <v>27</v>
      </c>
      <c r="D234" s="1" t="s">
        <v>22</v>
      </c>
      <c r="E234" s="1" t="s">
        <v>29</v>
      </c>
      <c r="F234" s="1">
        <v>3</v>
      </c>
      <c r="G234" s="1">
        <v>16876</v>
      </c>
      <c r="H234" s="2">
        <v>45159</v>
      </c>
      <c r="I234" s="1">
        <v>50628</v>
      </c>
      <c r="J234" s="1">
        <v>3375.2</v>
      </c>
      <c r="K234" s="1" t="s">
        <v>56</v>
      </c>
    </row>
    <row r="235" spans="1:11" x14ac:dyDescent="0.25">
      <c r="A235" s="1">
        <v>1234</v>
      </c>
      <c r="B235" s="1" t="s">
        <v>34</v>
      </c>
      <c r="C235" s="1" t="s">
        <v>15</v>
      </c>
      <c r="D235" s="1" t="s">
        <v>16</v>
      </c>
      <c r="E235" s="1" t="s">
        <v>33</v>
      </c>
      <c r="F235" s="1">
        <v>8</v>
      </c>
      <c r="G235" s="1">
        <v>9245</v>
      </c>
      <c r="H235" s="2">
        <v>45160</v>
      </c>
      <c r="I235" s="1">
        <v>73960</v>
      </c>
      <c r="J235" s="1">
        <v>1849</v>
      </c>
      <c r="K235" s="1" t="s">
        <v>57</v>
      </c>
    </row>
    <row r="236" spans="1:11" x14ac:dyDescent="0.25">
      <c r="A236" s="1">
        <v>1235</v>
      </c>
      <c r="B236" s="1" t="s">
        <v>21</v>
      </c>
      <c r="C236" s="1" t="s">
        <v>11</v>
      </c>
      <c r="D236" s="1" t="s">
        <v>16</v>
      </c>
      <c r="E236" s="1" t="s">
        <v>28</v>
      </c>
      <c r="F236" s="1">
        <v>8</v>
      </c>
      <c r="G236" s="1">
        <v>8214</v>
      </c>
      <c r="H236" s="2">
        <v>45161</v>
      </c>
      <c r="I236" s="1">
        <v>65712</v>
      </c>
      <c r="J236" s="1">
        <v>1642.8</v>
      </c>
      <c r="K236" s="1" t="s">
        <v>58</v>
      </c>
    </row>
    <row r="237" spans="1:11" x14ac:dyDescent="0.25">
      <c r="A237" s="1">
        <v>1236</v>
      </c>
      <c r="B237" s="1" t="s">
        <v>21</v>
      </c>
      <c r="C237" s="1" t="s">
        <v>11</v>
      </c>
      <c r="D237" s="1" t="s">
        <v>19</v>
      </c>
      <c r="E237" s="1" t="s">
        <v>33</v>
      </c>
      <c r="F237" s="1">
        <v>4</v>
      </c>
      <c r="G237" s="1">
        <v>1726</v>
      </c>
      <c r="H237" s="2">
        <v>45162</v>
      </c>
      <c r="I237" s="1">
        <v>6904</v>
      </c>
      <c r="J237" s="1">
        <v>345.2</v>
      </c>
      <c r="K237" s="1" t="s">
        <v>55</v>
      </c>
    </row>
    <row r="238" spans="1:11" x14ac:dyDescent="0.25">
      <c r="A238" s="1">
        <v>1237</v>
      </c>
      <c r="B238" s="1" t="s">
        <v>10</v>
      </c>
      <c r="C238" s="1" t="s">
        <v>11</v>
      </c>
      <c r="D238" s="1" t="s">
        <v>16</v>
      </c>
      <c r="E238" s="1" t="s">
        <v>31</v>
      </c>
      <c r="F238" s="1">
        <v>4</v>
      </c>
      <c r="G238" s="1">
        <v>47600</v>
      </c>
      <c r="H238" s="2">
        <v>45163</v>
      </c>
      <c r="I238" s="1">
        <v>190400</v>
      </c>
      <c r="J238" s="1">
        <v>9520</v>
      </c>
      <c r="K238" s="1" t="s">
        <v>56</v>
      </c>
    </row>
    <row r="239" spans="1:11" x14ac:dyDescent="0.25">
      <c r="A239" s="1">
        <v>1238</v>
      </c>
      <c r="B239" s="1" t="s">
        <v>35</v>
      </c>
      <c r="C239" s="1" t="s">
        <v>27</v>
      </c>
      <c r="D239" s="1" t="s">
        <v>16</v>
      </c>
      <c r="E239" s="1" t="s">
        <v>31</v>
      </c>
      <c r="F239" s="1">
        <v>5</v>
      </c>
      <c r="G239" s="1">
        <v>12362</v>
      </c>
      <c r="H239" s="2">
        <v>45164</v>
      </c>
      <c r="I239" s="1">
        <v>61810</v>
      </c>
      <c r="J239" s="1">
        <v>2472.4</v>
      </c>
      <c r="K239" s="1" t="s">
        <v>57</v>
      </c>
    </row>
    <row r="240" spans="1:11" x14ac:dyDescent="0.25">
      <c r="A240" s="1">
        <v>1239</v>
      </c>
      <c r="B240" s="1" t="s">
        <v>35</v>
      </c>
      <c r="C240" s="1" t="s">
        <v>27</v>
      </c>
      <c r="D240" s="1" t="s">
        <v>12</v>
      </c>
      <c r="E240" s="1" t="s">
        <v>33</v>
      </c>
      <c r="F240" s="1">
        <v>6</v>
      </c>
      <c r="G240" s="1">
        <v>19297</v>
      </c>
      <c r="H240" s="2">
        <v>45165</v>
      </c>
      <c r="I240" s="1">
        <v>115782</v>
      </c>
      <c r="J240" s="1">
        <v>3859.4</v>
      </c>
      <c r="K240" s="1" t="s">
        <v>58</v>
      </c>
    </row>
    <row r="241" spans="1:11" x14ac:dyDescent="0.25">
      <c r="A241" s="1">
        <v>1240</v>
      </c>
      <c r="B241" s="1" t="s">
        <v>26</v>
      </c>
      <c r="C241" s="1" t="s">
        <v>11</v>
      </c>
      <c r="D241" s="1" t="s">
        <v>22</v>
      </c>
      <c r="E241" s="1" t="s">
        <v>28</v>
      </c>
      <c r="F241" s="1">
        <v>5</v>
      </c>
      <c r="G241" s="1">
        <v>31448</v>
      </c>
      <c r="H241" s="2">
        <v>45166</v>
      </c>
      <c r="I241" s="1">
        <v>157240</v>
      </c>
      <c r="J241" s="1">
        <v>6289.6</v>
      </c>
      <c r="K241" s="1" t="s">
        <v>55</v>
      </c>
    </row>
    <row r="242" spans="1:11" x14ac:dyDescent="0.25">
      <c r="A242" s="1">
        <v>1241</v>
      </c>
      <c r="B242" s="1" t="s">
        <v>26</v>
      </c>
      <c r="C242" s="1" t="s">
        <v>15</v>
      </c>
      <c r="D242" s="1" t="s">
        <v>22</v>
      </c>
      <c r="E242" s="1" t="s">
        <v>33</v>
      </c>
      <c r="F242" s="1">
        <v>7</v>
      </c>
      <c r="G242" s="1">
        <v>27172</v>
      </c>
      <c r="H242" s="2">
        <v>45167</v>
      </c>
      <c r="I242" s="1">
        <v>190204</v>
      </c>
      <c r="J242" s="1">
        <v>5434.4</v>
      </c>
      <c r="K242" s="1" t="s">
        <v>56</v>
      </c>
    </row>
    <row r="243" spans="1:11" x14ac:dyDescent="0.25">
      <c r="A243" s="1">
        <v>1242</v>
      </c>
      <c r="B243" s="1" t="s">
        <v>26</v>
      </c>
      <c r="C243" s="1" t="s">
        <v>27</v>
      </c>
      <c r="D243" s="1" t="s">
        <v>12</v>
      </c>
      <c r="E243" s="1" t="s">
        <v>28</v>
      </c>
      <c r="F243" s="1">
        <v>2</v>
      </c>
      <c r="G243" s="1">
        <v>43874</v>
      </c>
      <c r="H243" s="2">
        <v>45168</v>
      </c>
      <c r="I243" s="1">
        <v>87748</v>
      </c>
      <c r="J243" s="1">
        <v>8774.7999999999993</v>
      </c>
      <c r="K243" s="1" t="s">
        <v>57</v>
      </c>
    </row>
    <row r="244" spans="1:11" x14ac:dyDescent="0.25">
      <c r="A244" s="1">
        <v>1243</v>
      </c>
      <c r="B244" s="1" t="s">
        <v>14</v>
      </c>
      <c r="C244" s="1" t="s">
        <v>11</v>
      </c>
      <c r="D244" s="1" t="s">
        <v>19</v>
      </c>
      <c r="E244" s="1" t="s">
        <v>28</v>
      </c>
      <c r="F244" s="1">
        <v>7</v>
      </c>
      <c r="G244" s="1">
        <v>8657</v>
      </c>
      <c r="H244" s="2">
        <v>45169</v>
      </c>
      <c r="I244" s="1">
        <v>60599</v>
      </c>
      <c r="J244" s="1">
        <v>1731.4</v>
      </c>
      <c r="K244" s="1" t="s">
        <v>58</v>
      </c>
    </row>
    <row r="245" spans="1:11" x14ac:dyDescent="0.25">
      <c r="A245" s="1">
        <v>1244</v>
      </c>
      <c r="B245" s="1" t="s">
        <v>18</v>
      </c>
      <c r="C245" s="1" t="s">
        <v>11</v>
      </c>
      <c r="D245" s="1" t="s">
        <v>22</v>
      </c>
      <c r="E245" s="1" t="s">
        <v>20</v>
      </c>
      <c r="F245" s="1">
        <v>7</v>
      </c>
      <c r="G245" s="1">
        <v>19850</v>
      </c>
      <c r="H245" s="2">
        <v>45170</v>
      </c>
      <c r="I245" s="1">
        <v>138950</v>
      </c>
      <c r="J245" s="1">
        <v>3970</v>
      </c>
      <c r="K245" s="1" t="s">
        <v>55</v>
      </c>
    </row>
    <row r="246" spans="1:11" x14ac:dyDescent="0.25">
      <c r="A246" s="1">
        <v>1245</v>
      </c>
      <c r="B246" s="1" t="s">
        <v>30</v>
      </c>
      <c r="C246" s="1" t="s">
        <v>15</v>
      </c>
      <c r="D246" s="1" t="s">
        <v>16</v>
      </c>
      <c r="E246" s="1" t="s">
        <v>23</v>
      </c>
      <c r="F246" s="1">
        <v>1</v>
      </c>
      <c r="G246" s="1">
        <v>26425</v>
      </c>
      <c r="H246" s="2">
        <v>45171</v>
      </c>
      <c r="I246" s="1">
        <v>26425</v>
      </c>
      <c r="J246" s="1">
        <v>5285</v>
      </c>
      <c r="K246" s="1" t="s">
        <v>56</v>
      </c>
    </row>
    <row r="247" spans="1:11" x14ac:dyDescent="0.25">
      <c r="A247" s="1">
        <v>1246</v>
      </c>
      <c r="B247" s="1" t="s">
        <v>18</v>
      </c>
      <c r="C247" s="1" t="s">
        <v>24</v>
      </c>
      <c r="D247" s="1" t="s">
        <v>22</v>
      </c>
      <c r="E247" s="1" t="s">
        <v>17</v>
      </c>
      <c r="F247" s="1">
        <v>7</v>
      </c>
      <c r="G247" s="1">
        <v>27685</v>
      </c>
      <c r="H247" s="2">
        <v>45172</v>
      </c>
      <c r="I247" s="1">
        <v>193795</v>
      </c>
      <c r="J247" s="1">
        <v>5537</v>
      </c>
      <c r="K247" s="1" t="s">
        <v>57</v>
      </c>
    </row>
    <row r="248" spans="1:11" x14ac:dyDescent="0.25">
      <c r="A248" s="1">
        <v>1247</v>
      </c>
      <c r="B248" s="1" t="s">
        <v>34</v>
      </c>
      <c r="C248" s="1" t="s">
        <v>27</v>
      </c>
      <c r="D248" s="1" t="s">
        <v>16</v>
      </c>
      <c r="E248" s="1" t="s">
        <v>28</v>
      </c>
      <c r="F248" s="1">
        <v>5</v>
      </c>
      <c r="G248" s="1">
        <v>48319</v>
      </c>
      <c r="H248" s="2">
        <v>45173</v>
      </c>
      <c r="I248" s="1">
        <v>241595</v>
      </c>
      <c r="J248" s="1">
        <v>9663.7999999999993</v>
      </c>
      <c r="K248" s="1" t="s">
        <v>58</v>
      </c>
    </row>
    <row r="249" spans="1:11" x14ac:dyDescent="0.25">
      <c r="A249" s="1">
        <v>1248</v>
      </c>
      <c r="B249" s="1" t="s">
        <v>18</v>
      </c>
      <c r="C249" s="1" t="s">
        <v>15</v>
      </c>
      <c r="D249" s="1" t="s">
        <v>19</v>
      </c>
      <c r="E249" s="1" t="s">
        <v>29</v>
      </c>
      <c r="F249" s="1">
        <v>3</v>
      </c>
      <c r="G249" s="1">
        <v>25578</v>
      </c>
      <c r="H249" s="2">
        <v>45174</v>
      </c>
      <c r="I249" s="1">
        <v>76734</v>
      </c>
      <c r="J249" s="1">
        <v>5115.6000000000004</v>
      </c>
      <c r="K249" s="1" t="s">
        <v>55</v>
      </c>
    </row>
    <row r="250" spans="1:11" x14ac:dyDescent="0.25">
      <c r="A250" s="1">
        <v>1249</v>
      </c>
      <c r="B250" s="1" t="s">
        <v>14</v>
      </c>
      <c r="C250" s="1" t="s">
        <v>11</v>
      </c>
      <c r="D250" s="1" t="s">
        <v>12</v>
      </c>
      <c r="E250" s="1" t="s">
        <v>28</v>
      </c>
      <c r="F250" s="1">
        <v>3</v>
      </c>
      <c r="G250" s="1">
        <v>29831</v>
      </c>
      <c r="H250" s="2">
        <v>45175</v>
      </c>
      <c r="I250" s="1">
        <v>89493</v>
      </c>
      <c r="J250" s="1">
        <v>5966.2</v>
      </c>
      <c r="K250" s="1" t="s">
        <v>56</v>
      </c>
    </row>
    <row r="251" spans="1:11" x14ac:dyDescent="0.25">
      <c r="A251" s="1">
        <v>1250</v>
      </c>
      <c r="B251" s="1" t="s">
        <v>34</v>
      </c>
      <c r="C251" s="1" t="s">
        <v>11</v>
      </c>
      <c r="D251" s="1" t="s">
        <v>22</v>
      </c>
      <c r="E251" s="1" t="s">
        <v>28</v>
      </c>
      <c r="F251" s="1">
        <v>4</v>
      </c>
      <c r="G251" s="1">
        <v>8906</v>
      </c>
      <c r="H251" s="2">
        <v>45176</v>
      </c>
      <c r="I251" s="1">
        <v>35624</v>
      </c>
      <c r="J251" s="1">
        <v>1781.2</v>
      </c>
      <c r="K251" s="1" t="s">
        <v>57</v>
      </c>
    </row>
    <row r="252" spans="1:11" x14ac:dyDescent="0.25">
      <c r="A252" s="1">
        <v>1251</v>
      </c>
      <c r="B252" s="1" t="s">
        <v>18</v>
      </c>
      <c r="C252" s="1" t="s">
        <v>15</v>
      </c>
      <c r="D252" s="1" t="s">
        <v>12</v>
      </c>
      <c r="E252" s="1" t="s">
        <v>28</v>
      </c>
      <c r="F252" s="1">
        <v>2</v>
      </c>
      <c r="G252" s="1">
        <v>8287</v>
      </c>
      <c r="H252" s="2">
        <v>45177</v>
      </c>
      <c r="I252" s="1">
        <v>16574</v>
      </c>
      <c r="J252" s="1">
        <v>1657.4</v>
      </c>
      <c r="K252" s="1" t="s">
        <v>58</v>
      </c>
    </row>
    <row r="253" spans="1:11" x14ac:dyDescent="0.25">
      <c r="A253" s="1">
        <v>1252</v>
      </c>
      <c r="B253" s="1" t="s">
        <v>14</v>
      </c>
      <c r="C253" s="1" t="s">
        <v>27</v>
      </c>
      <c r="D253" s="1" t="s">
        <v>22</v>
      </c>
      <c r="E253" s="1" t="s">
        <v>20</v>
      </c>
      <c r="F253" s="1">
        <v>2</v>
      </c>
      <c r="G253" s="1">
        <v>34660</v>
      </c>
      <c r="H253" s="2">
        <v>45178</v>
      </c>
      <c r="I253" s="1">
        <v>69320</v>
      </c>
      <c r="J253" s="1">
        <v>6932</v>
      </c>
      <c r="K253" s="1" t="s">
        <v>55</v>
      </c>
    </row>
    <row r="254" spans="1:11" x14ac:dyDescent="0.25">
      <c r="A254" s="1">
        <v>1253</v>
      </c>
      <c r="B254" s="1" t="s">
        <v>30</v>
      </c>
      <c r="C254" s="1" t="s">
        <v>24</v>
      </c>
      <c r="D254" s="1" t="s">
        <v>16</v>
      </c>
      <c r="E254" s="1" t="s">
        <v>23</v>
      </c>
      <c r="F254" s="1">
        <v>1</v>
      </c>
      <c r="G254" s="1">
        <v>11222</v>
      </c>
      <c r="H254" s="2">
        <v>45179</v>
      </c>
      <c r="I254" s="1">
        <v>11222</v>
      </c>
      <c r="J254" s="1">
        <v>2244.4</v>
      </c>
      <c r="K254" s="1" t="s">
        <v>56</v>
      </c>
    </row>
    <row r="255" spans="1:11" x14ac:dyDescent="0.25">
      <c r="A255" s="1">
        <v>1254</v>
      </c>
      <c r="B255" s="1" t="s">
        <v>18</v>
      </c>
      <c r="C255" s="1" t="s">
        <v>24</v>
      </c>
      <c r="D255" s="1" t="s">
        <v>12</v>
      </c>
      <c r="E255" s="1" t="s">
        <v>20</v>
      </c>
      <c r="F255" s="1">
        <v>5</v>
      </c>
      <c r="G255" s="1">
        <v>38443</v>
      </c>
      <c r="H255" s="2">
        <v>45180</v>
      </c>
      <c r="I255" s="1">
        <v>192215</v>
      </c>
      <c r="J255" s="1">
        <v>7688.6</v>
      </c>
      <c r="K255" s="1" t="s">
        <v>57</v>
      </c>
    </row>
    <row r="256" spans="1:11" x14ac:dyDescent="0.25">
      <c r="A256" s="1">
        <v>1255</v>
      </c>
      <c r="B256" s="1" t="s">
        <v>14</v>
      </c>
      <c r="C256" s="1" t="s">
        <v>11</v>
      </c>
      <c r="D256" s="1" t="s">
        <v>22</v>
      </c>
      <c r="E256" s="1" t="s">
        <v>31</v>
      </c>
      <c r="F256" s="1">
        <v>4</v>
      </c>
      <c r="G256" s="1">
        <v>35701</v>
      </c>
      <c r="H256" s="2">
        <v>45181</v>
      </c>
      <c r="I256" s="1">
        <v>142804</v>
      </c>
      <c r="J256" s="1">
        <v>7140.2</v>
      </c>
      <c r="K256" s="1" t="s">
        <v>58</v>
      </c>
    </row>
    <row r="257" spans="1:11" x14ac:dyDescent="0.25">
      <c r="A257" s="1">
        <v>1256</v>
      </c>
      <c r="B257" s="1" t="s">
        <v>26</v>
      </c>
      <c r="C257" s="1" t="s">
        <v>27</v>
      </c>
      <c r="D257" s="1" t="s">
        <v>16</v>
      </c>
      <c r="E257" s="1" t="s">
        <v>20</v>
      </c>
      <c r="F257" s="1">
        <v>2</v>
      </c>
      <c r="G257" s="1">
        <v>18764</v>
      </c>
      <c r="H257" s="2">
        <v>45182</v>
      </c>
      <c r="I257" s="1">
        <v>37528</v>
      </c>
      <c r="J257" s="1">
        <v>3752.8</v>
      </c>
      <c r="K257" s="1" t="s">
        <v>55</v>
      </c>
    </row>
    <row r="258" spans="1:11" x14ac:dyDescent="0.25">
      <c r="A258" s="1">
        <v>1257</v>
      </c>
      <c r="B258" s="1" t="s">
        <v>35</v>
      </c>
      <c r="C258" s="1" t="s">
        <v>24</v>
      </c>
      <c r="D258" s="1" t="s">
        <v>12</v>
      </c>
      <c r="E258" s="1" t="s">
        <v>29</v>
      </c>
      <c r="F258" s="1">
        <v>3</v>
      </c>
      <c r="G258" s="1">
        <v>45641</v>
      </c>
      <c r="H258" s="2">
        <v>45183</v>
      </c>
      <c r="I258" s="1">
        <v>136923</v>
      </c>
      <c r="J258" s="1">
        <v>9128.2000000000007</v>
      </c>
      <c r="K258" s="1" t="s">
        <v>56</v>
      </c>
    </row>
    <row r="259" spans="1:11" x14ac:dyDescent="0.25">
      <c r="A259" s="1">
        <v>1258</v>
      </c>
      <c r="B259" s="1" t="s">
        <v>26</v>
      </c>
      <c r="C259" s="1" t="s">
        <v>27</v>
      </c>
      <c r="D259" s="1" t="s">
        <v>12</v>
      </c>
      <c r="E259" s="1" t="s">
        <v>29</v>
      </c>
      <c r="F259" s="1">
        <v>7</v>
      </c>
      <c r="G259" s="1">
        <v>18674</v>
      </c>
      <c r="H259" s="2">
        <v>45184</v>
      </c>
      <c r="I259" s="1">
        <v>130718</v>
      </c>
      <c r="J259" s="1">
        <v>3734.8</v>
      </c>
      <c r="K259" s="1" t="s">
        <v>57</v>
      </c>
    </row>
    <row r="260" spans="1:11" x14ac:dyDescent="0.25">
      <c r="A260" s="1">
        <v>1259</v>
      </c>
      <c r="B260" s="1" t="s">
        <v>35</v>
      </c>
      <c r="C260" s="1" t="s">
        <v>27</v>
      </c>
      <c r="D260" s="1" t="s">
        <v>22</v>
      </c>
      <c r="E260" s="1" t="s">
        <v>20</v>
      </c>
      <c r="F260" s="1">
        <v>7</v>
      </c>
      <c r="G260" s="1">
        <v>19024</v>
      </c>
      <c r="H260" s="2">
        <v>45185</v>
      </c>
      <c r="I260" s="1">
        <v>133168</v>
      </c>
      <c r="J260" s="1">
        <v>3804.8</v>
      </c>
      <c r="K260" s="1" t="s">
        <v>58</v>
      </c>
    </row>
    <row r="261" spans="1:11" x14ac:dyDescent="0.25">
      <c r="A261" s="1">
        <v>1260</v>
      </c>
      <c r="B261" s="1" t="s">
        <v>32</v>
      </c>
      <c r="C261" s="1" t="s">
        <v>11</v>
      </c>
      <c r="D261" s="1" t="s">
        <v>22</v>
      </c>
      <c r="E261" s="1" t="s">
        <v>23</v>
      </c>
      <c r="F261" s="1">
        <v>4</v>
      </c>
      <c r="G261" s="1">
        <v>47007</v>
      </c>
      <c r="H261" s="2">
        <v>45186</v>
      </c>
      <c r="I261" s="1">
        <v>188028</v>
      </c>
      <c r="J261" s="1">
        <v>9401.4</v>
      </c>
      <c r="K261" s="1" t="s">
        <v>55</v>
      </c>
    </row>
    <row r="262" spans="1:11" x14ac:dyDescent="0.25">
      <c r="A262" s="1">
        <v>1261</v>
      </c>
      <c r="B262" s="1" t="s">
        <v>32</v>
      </c>
      <c r="C262" s="1" t="s">
        <v>24</v>
      </c>
      <c r="D262" s="1" t="s">
        <v>22</v>
      </c>
      <c r="E262" s="1" t="s">
        <v>33</v>
      </c>
      <c r="F262" s="1">
        <v>5</v>
      </c>
      <c r="G262" s="1">
        <v>24874</v>
      </c>
      <c r="H262" s="2">
        <v>45187</v>
      </c>
      <c r="I262" s="1">
        <v>124370</v>
      </c>
      <c r="J262" s="1">
        <v>4974.8</v>
      </c>
      <c r="K262" s="1" t="s">
        <v>56</v>
      </c>
    </row>
    <row r="263" spans="1:11" x14ac:dyDescent="0.25">
      <c r="A263" s="1">
        <v>1262</v>
      </c>
      <c r="B263" s="1" t="s">
        <v>32</v>
      </c>
      <c r="C263" s="1" t="s">
        <v>15</v>
      </c>
      <c r="D263" s="1" t="s">
        <v>16</v>
      </c>
      <c r="E263" s="1" t="s">
        <v>17</v>
      </c>
      <c r="F263" s="1">
        <v>5</v>
      </c>
      <c r="G263" s="1">
        <v>44642</v>
      </c>
      <c r="H263" s="2">
        <v>45188</v>
      </c>
      <c r="I263" s="1">
        <v>223210</v>
      </c>
      <c r="J263" s="1">
        <v>8928.4</v>
      </c>
      <c r="K263" s="1" t="s">
        <v>57</v>
      </c>
    </row>
    <row r="264" spans="1:11" x14ac:dyDescent="0.25">
      <c r="A264" s="1">
        <v>1263</v>
      </c>
      <c r="B264" s="1" t="s">
        <v>30</v>
      </c>
      <c r="C264" s="1" t="s">
        <v>11</v>
      </c>
      <c r="D264" s="1" t="s">
        <v>22</v>
      </c>
      <c r="E264" s="1" t="s">
        <v>23</v>
      </c>
      <c r="F264" s="1">
        <v>6</v>
      </c>
      <c r="G264" s="1">
        <v>33284</v>
      </c>
      <c r="H264" s="2">
        <v>45189</v>
      </c>
      <c r="I264" s="1">
        <v>199704</v>
      </c>
      <c r="J264" s="1">
        <v>6656.8</v>
      </c>
      <c r="K264" s="1" t="s">
        <v>58</v>
      </c>
    </row>
    <row r="265" spans="1:11" x14ac:dyDescent="0.25">
      <c r="A265" s="1">
        <v>1264</v>
      </c>
      <c r="B265" s="1" t="s">
        <v>26</v>
      </c>
      <c r="C265" s="1" t="s">
        <v>24</v>
      </c>
      <c r="D265" s="1" t="s">
        <v>12</v>
      </c>
      <c r="E265" s="1" t="s">
        <v>20</v>
      </c>
      <c r="F265" s="1">
        <v>9</v>
      </c>
      <c r="G265" s="1">
        <v>18602</v>
      </c>
      <c r="H265" s="2">
        <v>45190</v>
      </c>
      <c r="I265" s="1">
        <v>167418</v>
      </c>
      <c r="J265" s="1">
        <v>3720.4</v>
      </c>
      <c r="K265" s="1" t="s">
        <v>55</v>
      </c>
    </row>
    <row r="266" spans="1:11" x14ac:dyDescent="0.25">
      <c r="A266" s="1">
        <v>1265</v>
      </c>
      <c r="B266" s="1" t="s">
        <v>35</v>
      </c>
      <c r="C266" s="1" t="s">
        <v>24</v>
      </c>
      <c r="D266" s="1" t="s">
        <v>12</v>
      </c>
      <c r="E266" s="1" t="s">
        <v>28</v>
      </c>
      <c r="F266" s="1">
        <v>2</v>
      </c>
      <c r="G266" s="1">
        <v>38784</v>
      </c>
      <c r="H266" s="2">
        <v>45191</v>
      </c>
      <c r="I266" s="1">
        <v>77568</v>
      </c>
      <c r="J266" s="1">
        <v>7756.8</v>
      </c>
      <c r="K266" s="1" t="s">
        <v>56</v>
      </c>
    </row>
    <row r="267" spans="1:11" x14ac:dyDescent="0.25">
      <c r="A267" s="1">
        <v>1266</v>
      </c>
      <c r="B267" s="1" t="s">
        <v>14</v>
      </c>
      <c r="C267" s="1" t="s">
        <v>24</v>
      </c>
      <c r="D267" s="1" t="s">
        <v>22</v>
      </c>
      <c r="E267" s="1" t="s">
        <v>13</v>
      </c>
      <c r="F267" s="1">
        <v>5</v>
      </c>
      <c r="G267" s="1">
        <v>24265</v>
      </c>
      <c r="H267" s="2">
        <v>45192</v>
      </c>
      <c r="I267" s="1">
        <v>121325</v>
      </c>
      <c r="J267" s="1">
        <v>4853</v>
      </c>
      <c r="K267" s="1" t="s">
        <v>57</v>
      </c>
    </row>
    <row r="268" spans="1:11" x14ac:dyDescent="0.25">
      <c r="A268" s="1">
        <v>1267</v>
      </c>
      <c r="B268" s="1" t="s">
        <v>34</v>
      </c>
      <c r="C268" s="1" t="s">
        <v>24</v>
      </c>
      <c r="D268" s="1" t="s">
        <v>22</v>
      </c>
      <c r="E268" s="1" t="s">
        <v>17</v>
      </c>
      <c r="F268" s="1">
        <v>3</v>
      </c>
      <c r="G268" s="1">
        <v>26931</v>
      </c>
      <c r="H268" s="2">
        <v>45193</v>
      </c>
      <c r="I268" s="1">
        <v>80793</v>
      </c>
      <c r="J268" s="1">
        <v>5386.2</v>
      </c>
      <c r="K268" s="1" t="s">
        <v>58</v>
      </c>
    </row>
    <row r="269" spans="1:11" x14ac:dyDescent="0.25">
      <c r="A269" s="1">
        <v>1268</v>
      </c>
      <c r="B269" s="1" t="s">
        <v>14</v>
      </c>
      <c r="C269" s="1" t="s">
        <v>24</v>
      </c>
      <c r="D269" s="1" t="s">
        <v>19</v>
      </c>
      <c r="E269" s="1" t="s">
        <v>17</v>
      </c>
      <c r="F269" s="1">
        <v>4</v>
      </c>
      <c r="G269" s="1">
        <v>29841</v>
      </c>
      <c r="H269" s="2">
        <v>45194</v>
      </c>
      <c r="I269" s="1">
        <v>119364</v>
      </c>
      <c r="J269" s="1">
        <v>5968.2</v>
      </c>
      <c r="K269" s="1" t="s">
        <v>55</v>
      </c>
    </row>
    <row r="270" spans="1:11" x14ac:dyDescent="0.25">
      <c r="A270" s="1">
        <v>1269</v>
      </c>
      <c r="B270" s="1" t="s">
        <v>34</v>
      </c>
      <c r="C270" s="1" t="s">
        <v>27</v>
      </c>
      <c r="D270" s="1" t="s">
        <v>12</v>
      </c>
      <c r="E270" s="1" t="s">
        <v>29</v>
      </c>
      <c r="F270" s="1">
        <v>6</v>
      </c>
      <c r="G270" s="1">
        <v>30192</v>
      </c>
      <c r="H270" s="2">
        <v>45195</v>
      </c>
      <c r="I270" s="1">
        <v>181152</v>
      </c>
      <c r="J270" s="1">
        <v>6038.4</v>
      </c>
      <c r="K270" s="1" t="s">
        <v>56</v>
      </c>
    </row>
    <row r="271" spans="1:11" x14ac:dyDescent="0.25">
      <c r="A271" s="1">
        <v>1270</v>
      </c>
      <c r="B271" s="1" t="s">
        <v>21</v>
      </c>
      <c r="C271" s="1" t="s">
        <v>11</v>
      </c>
      <c r="D271" s="1" t="s">
        <v>16</v>
      </c>
      <c r="E271" s="1" t="s">
        <v>17</v>
      </c>
      <c r="F271" s="1">
        <v>8</v>
      </c>
      <c r="G271" s="1">
        <v>47542</v>
      </c>
      <c r="H271" s="2">
        <v>45196</v>
      </c>
      <c r="I271" s="1">
        <v>380336</v>
      </c>
      <c r="J271" s="1">
        <v>9508.4</v>
      </c>
      <c r="K271" s="1" t="s">
        <v>57</v>
      </c>
    </row>
    <row r="272" spans="1:11" x14ac:dyDescent="0.25">
      <c r="A272" s="1">
        <v>1271</v>
      </c>
      <c r="B272" s="1" t="s">
        <v>14</v>
      </c>
      <c r="C272" s="1" t="s">
        <v>27</v>
      </c>
      <c r="D272" s="1" t="s">
        <v>19</v>
      </c>
      <c r="E272" s="1" t="s">
        <v>20</v>
      </c>
      <c r="F272" s="1">
        <v>1</v>
      </c>
      <c r="G272" s="1">
        <v>43520</v>
      </c>
      <c r="H272" s="2">
        <v>45197</v>
      </c>
      <c r="I272" s="1">
        <v>43520</v>
      </c>
      <c r="J272" s="1">
        <v>8704</v>
      </c>
      <c r="K272" s="1" t="s">
        <v>58</v>
      </c>
    </row>
    <row r="273" spans="1:11" x14ac:dyDescent="0.25">
      <c r="A273" s="1">
        <v>1272</v>
      </c>
      <c r="B273" s="1" t="s">
        <v>18</v>
      </c>
      <c r="C273" s="1" t="s">
        <v>15</v>
      </c>
      <c r="D273" s="1" t="s">
        <v>22</v>
      </c>
      <c r="E273" s="1" t="s">
        <v>28</v>
      </c>
      <c r="F273" s="1">
        <v>8</v>
      </c>
      <c r="G273" s="1">
        <v>16585</v>
      </c>
      <c r="H273" s="2">
        <v>45198</v>
      </c>
      <c r="I273" s="1">
        <v>132680</v>
      </c>
      <c r="J273" s="1">
        <v>3317</v>
      </c>
      <c r="K273" s="1" t="s">
        <v>55</v>
      </c>
    </row>
    <row r="274" spans="1:11" x14ac:dyDescent="0.25">
      <c r="A274" s="1">
        <v>1273</v>
      </c>
      <c r="B274" s="1" t="s">
        <v>18</v>
      </c>
      <c r="C274" s="1" t="s">
        <v>24</v>
      </c>
      <c r="D274" s="1" t="s">
        <v>22</v>
      </c>
      <c r="E274" s="1" t="s">
        <v>28</v>
      </c>
      <c r="F274" s="1">
        <v>7</v>
      </c>
      <c r="G274" s="1">
        <v>26559</v>
      </c>
      <c r="H274" s="2">
        <v>45199</v>
      </c>
      <c r="I274" s="1">
        <v>185913</v>
      </c>
      <c r="J274" s="1">
        <v>5311.8</v>
      </c>
      <c r="K274" s="1" t="s">
        <v>56</v>
      </c>
    </row>
    <row r="275" spans="1:11" x14ac:dyDescent="0.25">
      <c r="A275" s="1">
        <v>1274</v>
      </c>
      <c r="B275" s="1" t="s">
        <v>10</v>
      </c>
      <c r="C275" s="1" t="s">
        <v>11</v>
      </c>
      <c r="D275" s="1" t="s">
        <v>12</v>
      </c>
      <c r="E275" s="1" t="s">
        <v>31</v>
      </c>
      <c r="F275" s="1">
        <v>1</v>
      </c>
      <c r="G275" s="1">
        <v>41059</v>
      </c>
      <c r="H275" s="2">
        <v>45200</v>
      </c>
      <c r="I275" s="1">
        <v>41059</v>
      </c>
      <c r="J275" s="1">
        <v>8211.7999999999993</v>
      </c>
      <c r="K275" s="1" t="s">
        <v>57</v>
      </c>
    </row>
    <row r="276" spans="1:11" x14ac:dyDescent="0.25">
      <c r="A276" s="1">
        <v>1275</v>
      </c>
      <c r="B276" s="1" t="s">
        <v>26</v>
      </c>
      <c r="C276" s="1" t="s">
        <v>24</v>
      </c>
      <c r="D276" s="1" t="s">
        <v>22</v>
      </c>
      <c r="E276" s="1" t="s">
        <v>28</v>
      </c>
      <c r="F276" s="1">
        <v>2</v>
      </c>
      <c r="G276" s="1">
        <v>34742</v>
      </c>
      <c r="H276" s="2">
        <v>45201</v>
      </c>
      <c r="I276" s="1">
        <v>69484</v>
      </c>
      <c r="J276" s="1">
        <v>6948.4</v>
      </c>
      <c r="K276" s="1" t="s">
        <v>58</v>
      </c>
    </row>
    <row r="277" spans="1:11" x14ac:dyDescent="0.25">
      <c r="A277" s="1">
        <v>1276</v>
      </c>
      <c r="B277" s="1" t="s">
        <v>34</v>
      </c>
      <c r="C277" s="1" t="s">
        <v>11</v>
      </c>
      <c r="D277" s="1" t="s">
        <v>16</v>
      </c>
      <c r="E277" s="1" t="s">
        <v>23</v>
      </c>
      <c r="F277" s="1">
        <v>3</v>
      </c>
      <c r="G277" s="1">
        <v>5133</v>
      </c>
      <c r="H277" s="2">
        <v>45202</v>
      </c>
      <c r="I277" s="1">
        <v>15399</v>
      </c>
      <c r="J277" s="1">
        <v>1026.5999999999999</v>
      </c>
      <c r="K277" s="1" t="s">
        <v>55</v>
      </c>
    </row>
    <row r="278" spans="1:11" x14ac:dyDescent="0.25">
      <c r="A278" s="1">
        <v>1277</v>
      </c>
      <c r="B278" s="1" t="s">
        <v>34</v>
      </c>
      <c r="C278" s="1" t="s">
        <v>27</v>
      </c>
      <c r="D278" s="1" t="s">
        <v>12</v>
      </c>
      <c r="E278" s="1" t="s">
        <v>28</v>
      </c>
      <c r="F278" s="1">
        <v>1</v>
      </c>
      <c r="G278" s="1">
        <v>15663</v>
      </c>
      <c r="H278" s="2">
        <v>45203</v>
      </c>
      <c r="I278" s="1">
        <v>15663</v>
      </c>
      <c r="J278" s="1">
        <v>3132.6</v>
      </c>
      <c r="K278" s="1" t="s">
        <v>56</v>
      </c>
    </row>
    <row r="279" spans="1:11" x14ac:dyDescent="0.25">
      <c r="A279" s="1">
        <v>1278</v>
      </c>
      <c r="B279" s="1" t="s">
        <v>26</v>
      </c>
      <c r="C279" s="1" t="s">
        <v>11</v>
      </c>
      <c r="D279" s="1" t="s">
        <v>22</v>
      </c>
      <c r="E279" s="1" t="s">
        <v>29</v>
      </c>
      <c r="F279" s="1">
        <v>9</v>
      </c>
      <c r="G279" s="1">
        <v>22754</v>
      </c>
      <c r="H279" s="2">
        <v>45204</v>
      </c>
      <c r="I279" s="1">
        <v>204786</v>
      </c>
      <c r="J279" s="1">
        <v>4550.8</v>
      </c>
      <c r="K279" s="1" t="s">
        <v>57</v>
      </c>
    </row>
    <row r="280" spans="1:11" x14ac:dyDescent="0.25">
      <c r="A280" s="1">
        <v>1279</v>
      </c>
      <c r="B280" s="1" t="s">
        <v>30</v>
      </c>
      <c r="C280" s="1" t="s">
        <v>15</v>
      </c>
      <c r="D280" s="1" t="s">
        <v>12</v>
      </c>
      <c r="E280" s="1" t="s">
        <v>28</v>
      </c>
      <c r="F280" s="1">
        <v>8</v>
      </c>
      <c r="G280" s="1">
        <v>4972</v>
      </c>
      <c r="H280" s="2">
        <v>45205</v>
      </c>
      <c r="I280" s="1">
        <v>39776</v>
      </c>
      <c r="J280" s="1">
        <v>994.4</v>
      </c>
      <c r="K280" s="1" t="s">
        <v>58</v>
      </c>
    </row>
    <row r="281" spans="1:11" x14ac:dyDescent="0.25">
      <c r="A281" s="1">
        <v>1280</v>
      </c>
      <c r="B281" s="1" t="s">
        <v>10</v>
      </c>
      <c r="C281" s="1" t="s">
        <v>15</v>
      </c>
      <c r="D281" s="1" t="s">
        <v>22</v>
      </c>
      <c r="E281" s="1" t="s">
        <v>31</v>
      </c>
      <c r="F281" s="1">
        <v>2</v>
      </c>
      <c r="G281" s="1">
        <v>6295</v>
      </c>
      <c r="H281" s="2">
        <v>45206</v>
      </c>
      <c r="I281" s="1">
        <v>12590</v>
      </c>
      <c r="J281" s="1">
        <v>1259</v>
      </c>
      <c r="K281" s="1" t="s">
        <v>55</v>
      </c>
    </row>
    <row r="282" spans="1:11" x14ac:dyDescent="0.25">
      <c r="A282" s="1">
        <v>1281</v>
      </c>
      <c r="B282" s="1" t="s">
        <v>30</v>
      </c>
      <c r="C282" s="1" t="s">
        <v>11</v>
      </c>
      <c r="D282" s="1" t="s">
        <v>22</v>
      </c>
      <c r="E282" s="1" t="s">
        <v>13</v>
      </c>
      <c r="F282" s="1">
        <v>9</v>
      </c>
      <c r="G282" s="1">
        <v>47681</v>
      </c>
      <c r="H282" s="2">
        <v>45207</v>
      </c>
      <c r="I282" s="1">
        <v>429129</v>
      </c>
      <c r="J282" s="1">
        <v>9536.2000000000007</v>
      </c>
      <c r="K282" s="1" t="s">
        <v>56</v>
      </c>
    </row>
    <row r="283" spans="1:11" x14ac:dyDescent="0.25">
      <c r="A283" s="1">
        <v>1282</v>
      </c>
      <c r="B283" s="1" t="s">
        <v>30</v>
      </c>
      <c r="C283" s="1" t="s">
        <v>11</v>
      </c>
      <c r="D283" s="1" t="s">
        <v>22</v>
      </c>
      <c r="E283" s="1" t="s">
        <v>20</v>
      </c>
      <c r="F283" s="1">
        <v>7</v>
      </c>
      <c r="G283" s="1">
        <v>42873</v>
      </c>
      <c r="H283" s="2">
        <v>45208</v>
      </c>
      <c r="I283" s="1">
        <v>300111</v>
      </c>
      <c r="J283" s="1">
        <v>8574.6</v>
      </c>
      <c r="K283" s="1" t="s">
        <v>57</v>
      </c>
    </row>
    <row r="284" spans="1:11" x14ac:dyDescent="0.25">
      <c r="A284" s="1">
        <v>1283</v>
      </c>
      <c r="B284" s="1" t="s">
        <v>30</v>
      </c>
      <c r="C284" s="1" t="s">
        <v>11</v>
      </c>
      <c r="D284" s="1" t="s">
        <v>16</v>
      </c>
      <c r="E284" s="1" t="s">
        <v>29</v>
      </c>
      <c r="F284" s="1">
        <v>9</v>
      </c>
      <c r="G284" s="1">
        <v>30125</v>
      </c>
      <c r="H284" s="2">
        <v>45209</v>
      </c>
      <c r="I284" s="1">
        <v>271125</v>
      </c>
      <c r="J284" s="1">
        <v>6025</v>
      </c>
      <c r="K284" s="1" t="s">
        <v>58</v>
      </c>
    </row>
    <row r="285" spans="1:11" x14ac:dyDescent="0.25">
      <c r="A285" s="1">
        <v>1284</v>
      </c>
      <c r="B285" s="1" t="s">
        <v>26</v>
      </c>
      <c r="C285" s="1" t="s">
        <v>11</v>
      </c>
      <c r="D285" s="1" t="s">
        <v>16</v>
      </c>
      <c r="E285" s="1" t="s">
        <v>23</v>
      </c>
      <c r="F285" s="1">
        <v>6</v>
      </c>
      <c r="G285" s="1">
        <v>41996</v>
      </c>
      <c r="H285" s="2">
        <v>45210</v>
      </c>
      <c r="I285" s="1">
        <v>251976</v>
      </c>
      <c r="J285" s="1">
        <v>8399.2000000000007</v>
      </c>
      <c r="K285" s="1" t="s">
        <v>55</v>
      </c>
    </row>
    <row r="286" spans="1:11" x14ac:dyDescent="0.25">
      <c r="A286" s="1">
        <v>1285</v>
      </c>
      <c r="B286" s="1" t="s">
        <v>30</v>
      </c>
      <c r="C286" s="1" t="s">
        <v>15</v>
      </c>
      <c r="D286" s="1" t="s">
        <v>12</v>
      </c>
      <c r="E286" s="1" t="s">
        <v>13</v>
      </c>
      <c r="F286" s="1">
        <v>6</v>
      </c>
      <c r="G286" s="1">
        <v>10903</v>
      </c>
      <c r="H286" s="2">
        <v>45211</v>
      </c>
      <c r="I286" s="1">
        <v>65418</v>
      </c>
      <c r="J286" s="1">
        <v>2180.6</v>
      </c>
      <c r="K286" s="1" t="s">
        <v>56</v>
      </c>
    </row>
    <row r="287" spans="1:11" x14ac:dyDescent="0.25">
      <c r="A287" s="1">
        <v>1286</v>
      </c>
      <c r="B287" s="1" t="s">
        <v>18</v>
      </c>
      <c r="C287" s="1" t="s">
        <v>24</v>
      </c>
      <c r="D287" s="1" t="s">
        <v>22</v>
      </c>
      <c r="E287" s="1" t="s">
        <v>29</v>
      </c>
      <c r="F287" s="1">
        <v>4</v>
      </c>
      <c r="G287" s="1">
        <v>4020</v>
      </c>
      <c r="H287" s="2">
        <v>45212</v>
      </c>
      <c r="I287" s="1">
        <v>16080</v>
      </c>
      <c r="J287" s="1">
        <v>804</v>
      </c>
      <c r="K287" s="1" t="s">
        <v>57</v>
      </c>
    </row>
    <row r="288" spans="1:11" x14ac:dyDescent="0.25">
      <c r="A288" s="1">
        <v>1287</v>
      </c>
      <c r="B288" s="1" t="s">
        <v>32</v>
      </c>
      <c r="C288" s="1" t="s">
        <v>11</v>
      </c>
      <c r="D288" s="1" t="s">
        <v>22</v>
      </c>
      <c r="E288" s="1" t="s">
        <v>33</v>
      </c>
      <c r="F288" s="1">
        <v>2</v>
      </c>
      <c r="G288" s="1">
        <v>42755</v>
      </c>
      <c r="H288" s="2">
        <v>45213</v>
      </c>
      <c r="I288" s="1">
        <v>85510</v>
      </c>
      <c r="J288" s="1">
        <v>8551</v>
      </c>
      <c r="K288" s="1" t="s">
        <v>58</v>
      </c>
    </row>
    <row r="289" spans="1:11" x14ac:dyDescent="0.25">
      <c r="A289" s="1">
        <v>1288</v>
      </c>
      <c r="B289" s="1" t="s">
        <v>21</v>
      </c>
      <c r="C289" s="1" t="s">
        <v>11</v>
      </c>
      <c r="D289" s="1" t="s">
        <v>16</v>
      </c>
      <c r="E289" s="1" t="s">
        <v>17</v>
      </c>
      <c r="F289" s="1">
        <v>7</v>
      </c>
      <c r="G289" s="1">
        <v>21420</v>
      </c>
      <c r="H289" s="2">
        <v>45214</v>
      </c>
      <c r="I289" s="1">
        <v>149940</v>
      </c>
      <c r="J289" s="1">
        <v>4284</v>
      </c>
      <c r="K289" s="1" t="s">
        <v>55</v>
      </c>
    </row>
    <row r="290" spans="1:11" x14ac:dyDescent="0.25">
      <c r="A290" s="1">
        <v>1289</v>
      </c>
      <c r="B290" s="1" t="s">
        <v>34</v>
      </c>
      <c r="C290" s="1" t="s">
        <v>15</v>
      </c>
      <c r="D290" s="1" t="s">
        <v>22</v>
      </c>
      <c r="E290" s="1" t="s">
        <v>33</v>
      </c>
      <c r="F290" s="1">
        <v>5</v>
      </c>
      <c r="G290" s="1">
        <v>22452</v>
      </c>
      <c r="H290" s="2">
        <v>45215</v>
      </c>
      <c r="I290" s="1">
        <v>112260</v>
      </c>
      <c r="J290" s="1">
        <v>4490.3999999999996</v>
      </c>
      <c r="K290" s="1" t="s">
        <v>56</v>
      </c>
    </row>
    <row r="291" spans="1:11" x14ac:dyDescent="0.25">
      <c r="A291" s="1">
        <v>1290</v>
      </c>
      <c r="B291" s="1" t="s">
        <v>34</v>
      </c>
      <c r="C291" s="1" t="s">
        <v>15</v>
      </c>
      <c r="D291" s="1" t="s">
        <v>16</v>
      </c>
      <c r="E291" s="1" t="s">
        <v>28</v>
      </c>
      <c r="F291" s="1">
        <v>6</v>
      </c>
      <c r="G291" s="1">
        <v>46648</v>
      </c>
      <c r="H291" s="2">
        <v>45216</v>
      </c>
      <c r="I291" s="1">
        <v>279888</v>
      </c>
      <c r="J291" s="1">
        <v>9329.6</v>
      </c>
      <c r="K291" s="1" t="s">
        <v>57</v>
      </c>
    </row>
    <row r="292" spans="1:11" x14ac:dyDescent="0.25">
      <c r="A292" s="1">
        <v>1291</v>
      </c>
      <c r="B292" s="1" t="s">
        <v>21</v>
      </c>
      <c r="C292" s="1" t="s">
        <v>27</v>
      </c>
      <c r="D292" s="1" t="s">
        <v>22</v>
      </c>
      <c r="E292" s="1" t="s">
        <v>13</v>
      </c>
      <c r="F292" s="1">
        <v>2</v>
      </c>
      <c r="G292" s="1">
        <v>39001</v>
      </c>
      <c r="H292" s="2">
        <v>45217</v>
      </c>
      <c r="I292" s="1">
        <v>78002</v>
      </c>
      <c r="J292" s="1">
        <v>7800.2</v>
      </c>
      <c r="K292" s="1" t="s">
        <v>58</v>
      </c>
    </row>
    <row r="293" spans="1:11" x14ac:dyDescent="0.25">
      <c r="A293" s="1">
        <v>1292</v>
      </c>
      <c r="B293" s="1" t="s">
        <v>26</v>
      </c>
      <c r="C293" s="1" t="s">
        <v>11</v>
      </c>
      <c r="D293" s="1" t="s">
        <v>12</v>
      </c>
      <c r="E293" s="1" t="s">
        <v>28</v>
      </c>
      <c r="F293" s="1">
        <v>5</v>
      </c>
      <c r="G293" s="1">
        <v>10516</v>
      </c>
      <c r="H293" s="2">
        <v>45218</v>
      </c>
      <c r="I293" s="1">
        <v>52580</v>
      </c>
      <c r="J293" s="1">
        <v>2103.1999999999998</v>
      </c>
      <c r="K293" s="1" t="s">
        <v>55</v>
      </c>
    </row>
    <row r="294" spans="1:11" x14ac:dyDescent="0.25">
      <c r="A294" s="1">
        <v>1293</v>
      </c>
      <c r="B294" s="1" t="s">
        <v>14</v>
      </c>
      <c r="C294" s="1" t="s">
        <v>27</v>
      </c>
      <c r="D294" s="1" t="s">
        <v>22</v>
      </c>
      <c r="E294" s="1" t="s">
        <v>17</v>
      </c>
      <c r="F294" s="1">
        <v>4</v>
      </c>
      <c r="G294" s="1">
        <v>48327</v>
      </c>
      <c r="H294" s="2">
        <v>45219</v>
      </c>
      <c r="I294" s="1">
        <v>193308</v>
      </c>
      <c r="J294" s="1">
        <v>9665.4</v>
      </c>
      <c r="K294" s="1" t="s">
        <v>56</v>
      </c>
    </row>
    <row r="295" spans="1:11" x14ac:dyDescent="0.25">
      <c r="A295" s="1">
        <v>1294</v>
      </c>
      <c r="B295" s="1" t="s">
        <v>26</v>
      </c>
      <c r="C295" s="1" t="s">
        <v>15</v>
      </c>
      <c r="D295" s="1" t="s">
        <v>22</v>
      </c>
      <c r="E295" s="1" t="s">
        <v>29</v>
      </c>
      <c r="F295" s="1">
        <v>9</v>
      </c>
      <c r="G295" s="1">
        <v>3396</v>
      </c>
      <c r="H295" s="2">
        <v>45220</v>
      </c>
      <c r="I295" s="1">
        <v>30564</v>
      </c>
      <c r="J295" s="1">
        <v>679.2</v>
      </c>
      <c r="K295" s="1" t="s">
        <v>57</v>
      </c>
    </row>
    <row r="296" spans="1:11" x14ac:dyDescent="0.25">
      <c r="A296" s="1">
        <v>1295</v>
      </c>
      <c r="B296" s="1" t="s">
        <v>34</v>
      </c>
      <c r="C296" s="1" t="s">
        <v>15</v>
      </c>
      <c r="D296" s="1" t="s">
        <v>19</v>
      </c>
      <c r="E296" s="1" t="s">
        <v>17</v>
      </c>
      <c r="F296" s="1">
        <v>6</v>
      </c>
      <c r="G296" s="1">
        <v>19546</v>
      </c>
      <c r="H296" s="2">
        <v>45221</v>
      </c>
      <c r="I296" s="1">
        <v>117276</v>
      </c>
      <c r="J296" s="1">
        <v>3909.2</v>
      </c>
      <c r="K296" s="1" t="s">
        <v>58</v>
      </c>
    </row>
    <row r="297" spans="1:11" x14ac:dyDescent="0.25">
      <c r="A297" s="1">
        <v>1296</v>
      </c>
      <c r="B297" s="1" t="s">
        <v>34</v>
      </c>
      <c r="C297" s="1" t="s">
        <v>24</v>
      </c>
      <c r="D297" s="1" t="s">
        <v>16</v>
      </c>
      <c r="E297" s="1" t="s">
        <v>31</v>
      </c>
      <c r="F297" s="1">
        <v>2</v>
      </c>
      <c r="G297" s="1">
        <v>20129</v>
      </c>
      <c r="H297" s="2">
        <v>45222</v>
      </c>
      <c r="I297" s="1">
        <v>40258</v>
      </c>
      <c r="J297" s="1">
        <v>4025.8</v>
      </c>
      <c r="K297" s="1" t="s">
        <v>55</v>
      </c>
    </row>
    <row r="298" spans="1:11" x14ac:dyDescent="0.25">
      <c r="A298" s="1">
        <v>1297</v>
      </c>
      <c r="B298" s="1" t="s">
        <v>21</v>
      </c>
      <c r="C298" s="1" t="s">
        <v>11</v>
      </c>
      <c r="D298" s="1" t="s">
        <v>22</v>
      </c>
      <c r="E298" s="1" t="s">
        <v>17</v>
      </c>
      <c r="F298" s="1">
        <v>1</v>
      </c>
      <c r="G298" s="1">
        <v>2591</v>
      </c>
      <c r="H298" s="2">
        <v>45223</v>
      </c>
      <c r="I298" s="1">
        <v>2591</v>
      </c>
      <c r="J298" s="1">
        <v>518.20000000000005</v>
      </c>
      <c r="K298" s="1" t="s">
        <v>56</v>
      </c>
    </row>
    <row r="299" spans="1:11" x14ac:dyDescent="0.25">
      <c r="A299" s="1">
        <v>1298</v>
      </c>
      <c r="B299" s="1" t="s">
        <v>30</v>
      </c>
      <c r="C299" s="1" t="s">
        <v>27</v>
      </c>
      <c r="D299" s="1" t="s">
        <v>22</v>
      </c>
      <c r="E299" s="1" t="s">
        <v>31</v>
      </c>
      <c r="F299" s="1">
        <v>5</v>
      </c>
      <c r="G299" s="1">
        <v>12303</v>
      </c>
      <c r="H299" s="2">
        <v>45224</v>
      </c>
      <c r="I299" s="1">
        <v>61515</v>
      </c>
      <c r="J299" s="1">
        <v>2460.6</v>
      </c>
      <c r="K299" s="1" t="s">
        <v>57</v>
      </c>
    </row>
    <row r="300" spans="1:11" x14ac:dyDescent="0.25">
      <c r="A300" s="1">
        <v>1299</v>
      </c>
      <c r="B300" s="1" t="s">
        <v>26</v>
      </c>
      <c r="C300" s="1" t="s">
        <v>15</v>
      </c>
      <c r="D300" s="1" t="s">
        <v>19</v>
      </c>
      <c r="E300" s="1" t="s">
        <v>17</v>
      </c>
      <c r="F300" s="1">
        <v>9</v>
      </c>
      <c r="G300" s="1">
        <v>31561</v>
      </c>
      <c r="H300" s="2">
        <v>45225</v>
      </c>
      <c r="I300" s="1">
        <v>284049</v>
      </c>
      <c r="J300" s="1">
        <v>6312.2</v>
      </c>
      <c r="K300" s="1" t="s">
        <v>58</v>
      </c>
    </row>
    <row r="301" spans="1:11" x14ac:dyDescent="0.25">
      <c r="A301" s="1">
        <v>1300</v>
      </c>
      <c r="B301" s="1" t="s">
        <v>35</v>
      </c>
      <c r="C301" s="1" t="s">
        <v>15</v>
      </c>
      <c r="D301" s="1" t="s">
        <v>19</v>
      </c>
      <c r="E301" s="1" t="s">
        <v>20</v>
      </c>
      <c r="F301" s="1">
        <v>6</v>
      </c>
      <c r="G301" s="1">
        <v>7183</v>
      </c>
      <c r="H301" s="2">
        <v>45226</v>
      </c>
      <c r="I301" s="1">
        <v>43098</v>
      </c>
      <c r="J301" s="1">
        <v>1436.6</v>
      </c>
      <c r="K301" s="1" t="s">
        <v>55</v>
      </c>
    </row>
    <row r="302" spans="1:11" x14ac:dyDescent="0.25">
      <c r="F302">
        <f>SUM(F2:F301)</f>
        <v>1479</v>
      </c>
      <c r="G302">
        <f>SUM(G2:G301)</f>
        <v>7662785</v>
      </c>
      <c r="I302">
        <f>SUM(I2:I301)</f>
        <v>37227091</v>
      </c>
      <c r="J302">
        <f>SUM(J2:J301)</f>
        <v>1532556.9999999995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18E3-68D3-4005-A9B9-321E1A03E6FB}">
  <dimension ref="A3:T33"/>
  <sheetViews>
    <sheetView workbookViewId="0"/>
  </sheetViews>
  <sheetFormatPr defaultRowHeight="15" x14ac:dyDescent="0.25"/>
  <cols>
    <col min="1" max="1" width="13.140625" bestFit="1" customWidth="1"/>
    <col min="2" max="2" width="12" bestFit="1" customWidth="1"/>
    <col min="3" max="3" width="12.140625" bestFit="1" customWidth="1"/>
    <col min="5" max="5" width="12.5703125" bestFit="1" customWidth="1"/>
    <col min="6" max="7" width="12.140625" bestFit="1" customWidth="1"/>
    <col min="9" max="9" width="18.42578125" bestFit="1" customWidth="1"/>
    <col min="10" max="10" width="12" bestFit="1" customWidth="1"/>
    <col min="11" max="11" width="12.140625" bestFit="1" customWidth="1"/>
    <col min="13" max="13" width="16.5703125" bestFit="1" customWidth="1"/>
    <col min="14" max="14" width="15.42578125" bestFit="1" customWidth="1"/>
    <col min="15" max="15" width="12.5703125" bestFit="1" customWidth="1"/>
    <col min="16" max="16" width="13.140625" bestFit="1" customWidth="1"/>
    <col min="17" max="17" width="12.5703125" bestFit="1" customWidth="1"/>
    <col min="18" max="18" width="15.42578125" bestFit="1" customWidth="1"/>
    <col min="19" max="19" width="12.140625" bestFit="1" customWidth="1"/>
    <col min="20" max="20" width="12" bestFit="1" customWidth="1"/>
    <col min="21" max="21" width="12.5703125" bestFit="1" customWidth="1"/>
    <col min="22" max="22" width="4.85546875" bestFit="1" customWidth="1"/>
    <col min="23" max="24" width="4" bestFit="1" customWidth="1"/>
    <col min="25" max="25" width="4.42578125" bestFit="1" customWidth="1"/>
    <col min="26" max="26" width="4.28515625" bestFit="1" customWidth="1"/>
    <col min="27" max="27" width="4" bestFit="1" customWidth="1"/>
    <col min="28" max="28" width="11.28515625" bestFit="1" customWidth="1"/>
    <col min="29" max="48" width="6.5703125" bestFit="1" customWidth="1"/>
    <col min="49" max="49" width="8.7109375" bestFit="1" customWidth="1"/>
    <col min="50" max="77" width="7" bestFit="1" customWidth="1"/>
    <col min="78" max="78" width="9.140625" bestFit="1" customWidth="1"/>
    <col min="79" max="109" width="7.28515625" bestFit="1" customWidth="1"/>
    <col min="110" max="110" width="9.42578125" bestFit="1" customWidth="1"/>
    <col min="111" max="140" width="6.85546875" bestFit="1" customWidth="1"/>
    <col min="141" max="141" width="9" bestFit="1" customWidth="1"/>
    <col min="142" max="172" width="7.5703125" bestFit="1" customWidth="1"/>
    <col min="173" max="173" width="9.7109375" bestFit="1" customWidth="1"/>
    <col min="174" max="203" width="6.7109375" bestFit="1" customWidth="1"/>
    <col min="204" max="204" width="8.85546875" bestFit="1" customWidth="1"/>
    <col min="205" max="235" width="6.140625" bestFit="1" customWidth="1"/>
    <col min="236" max="236" width="8.28515625" bestFit="1" customWidth="1"/>
    <col min="237" max="267" width="7.140625" bestFit="1" customWidth="1"/>
    <col min="268" max="268" width="9.28515625" bestFit="1" customWidth="1"/>
    <col min="269" max="298" width="7" bestFit="1" customWidth="1"/>
    <col min="299" max="299" width="9.140625" bestFit="1" customWidth="1"/>
    <col min="300" max="326" width="6.7109375" bestFit="1" customWidth="1"/>
    <col min="327" max="327" width="8.85546875" bestFit="1" customWidth="1"/>
    <col min="328" max="328" width="11.28515625" bestFit="1" customWidth="1"/>
  </cols>
  <sheetData>
    <row r="3" spans="1:20" x14ac:dyDescent="0.25">
      <c r="A3" s="4" t="s">
        <v>37</v>
      </c>
      <c r="B3" t="s">
        <v>38</v>
      </c>
      <c r="C3" t="s">
        <v>39</v>
      </c>
      <c r="E3" s="7" t="s">
        <v>37</v>
      </c>
      <c r="F3" s="1" t="s">
        <v>38</v>
      </c>
      <c r="G3" s="1" t="s">
        <v>39</v>
      </c>
      <c r="H3" s="1"/>
      <c r="I3" s="4" t="s">
        <v>37</v>
      </c>
      <c r="J3" t="s">
        <v>38</v>
      </c>
      <c r="K3" t="s">
        <v>39</v>
      </c>
      <c r="M3" s="7" t="s">
        <v>37</v>
      </c>
      <c r="N3" s="1" t="s">
        <v>41</v>
      </c>
      <c r="P3" s="4" t="s">
        <v>37</v>
      </c>
      <c r="Q3" t="s">
        <v>40</v>
      </c>
    </row>
    <row r="4" spans="1:20" x14ac:dyDescent="0.25">
      <c r="A4" s="5" t="s">
        <v>12</v>
      </c>
      <c r="B4" s="6">
        <v>7639824</v>
      </c>
      <c r="C4" s="6">
        <v>1616556</v>
      </c>
      <c r="E4" s="8" t="s">
        <v>27</v>
      </c>
      <c r="F4" s="9">
        <v>7492569</v>
      </c>
      <c r="G4" s="9">
        <v>1586856</v>
      </c>
      <c r="H4" s="1"/>
      <c r="I4" s="5" t="s">
        <v>12</v>
      </c>
      <c r="J4" s="6">
        <v>7639824</v>
      </c>
      <c r="K4" s="6">
        <v>1616556</v>
      </c>
      <c r="M4" s="8" t="s">
        <v>27</v>
      </c>
      <c r="N4" s="9">
        <v>307</v>
      </c>
      <c r="P4" s="5" t="s">
        <v>27</v>
      </c>
      <c r="Q4" s="6">
        <v>317371.19999999984</v>
      </c>
    </row>
    <row r="5" spans="1:20" x14ac:dyDescent="0.25">
      <c r="A5" s="5" t="s">
        <v>16</v>
      </c>
      <c r="B5" s="6">
        <v>7896972</v>
      </c>
      <c r="C5" s="6">
        <v>1559964</v>
      </c>
      <c r="E5" s="8" t="s">
        <v>11</v>
      </c>
      <c r="F5" s="9">
        <v>10716184</v>
      </c>
      <c r="G5" s="9">
        <v>2077957</v>
      </c>
      <c r="H5" s="1"/>
      <c r="I5" s="17" t="s">
        <v>27</v>
      </c>
      <c r="J5" s="6">
        <v>2058470</v>
      </c>
      <c r="K5" s="6">
        <v>364178</v>
      </c>
      <c r="M5" s="8" t="s">
        <v>11</v>
      </c>
      <c r="N5" s="9">
        <v>393</v>
      </c>
      <c r="P5" s="5" t="s">
        <v>11</v>
      </c>
      <c r="Q5" s="6">
        <v>415591.40000000008</v>
      </c>
    </row>
    <row r="6" spans="1:20" x14ac:dyDescent="0.25">
      <c r="A6" s="5" t="s">
        <v>22</v>
      </c>
      <c r="B6" s="6">
        <v>12943334</v>
      </c>
      <c r="C6" s="6">
        <v>2614269</v>
      </c>
      <c r="E6" s="8" t="s">
        <v>24</v>
      </c>
      <c r="F6" s="9">
        <v>8149763</v>
      </c>
      <c r="G6" s="9">
        <v>1849297</v>
      </c>
      <c r="H6" s="1"/>
      <c r="I6" s="17" t="s">
        <v>11</v>
      </c>
      <c r="J6" s="6">
        <v>1298850</v>
      </c>
      <c r="K6" s="6">
        <v>381154</v>
      </c>
      <c r="M6" s="8" t="s">
        <v>24</v>
      </c>
      <c r="N6" s="9">
        <v>363</v>
      </c>
      <c r="P6" s="5" t="s">
        <v>24</v>
      </c>
      <c r="Q6" s="6">
        <v>369859.39999999997</v>
      </c>
    </row>
    <row r="7" spans="1:20" x14ac:dyDescent="0.25">
      <c r="A7" s="5" t="s">
        <v>19</v>
      </c>
      <c r="B7" s="6">
        <v>8746961</v>
      </c>
      <c r="C7" s="6">
        <v>1871996</v>
      </c>
      <c r="E7" s="8" t="s">
        <v>15</v>
      </c>
      <c r="F7" s="9">
        <v>10868575</v>
      </c>
      <c r="G7" s="9">
        <v>2148675</v>
      </c>
      <c r="H7" s="1"/>
      <c r="I7" s="17" t="s">
        <v>24</v>
      </c>
      <c r="J7" s="6">
        <v>2600826</v>
      </c>
      <c r="K7" s="6">
        <v>556186</v>
      </c>
      <c r="M7" s="8" t="s">
        <v>15</v>
      </c>
      <c r="N7" s="9">
        <v>416</v>
      </c>
      <c r="P7" s="5" t="s">
        <v>15</v>
      </c>
      <c r="Q7" s="6">
        <v>429735.00000000017</v>
      </c>
    </row>
    <row r="8" spans="1:20" x14ac:dyDescent="0.25">
      <c r="A8" s="5" t="s">
        <v>36</v>
      </c>
      <c r="B8" s="6">
        <v>37227091</v>
      </c>
      <c r="C8" s="6">
        <v>7662785</v>
      </c>
      <c r="E8" s="8" t="s">
        <v>36</v>
      </c>
      <c r="F8" s="9">
        <v>37227091</v>
      </c>
      <c r="G8" s="9">
        <v>7662785</v>
      </c>
      <c r="H8" s="1"/>
      <c r="I8" s="17" t="s">
        <v>15</v>
      </c>
      <c r="J8" s="6">
        <v>1681678</v>
      </c>
      <c r="K8" s="6">
        <v>315038</v>
      </c>
      <c r="M8" s="8" t="s">
        <v>36</v>
      </c>
      <c r="N8" s="9">
        <v>1479</v>
      </c>
      <c r="P8" s="5" t="s">
        <v>36</v>
      </c>
      <c r="Q8" s="6">
        <v>1532557</v>
      </c>
    </row>
    <row r="9" spans="1:20" x14ac:dyDescent="0.25">
      <c r="I9" s="5" t="s">
        <v>16</v>
      </c>
      <c r="J9" s="6">
        <v>7896972</v>
      </c>
      <c r="K9" s="6">
        <v>1559964</v>
      </c>
    </row>
    <row r="10" spans="1:20" x14ac:dyDescent="0.25">
      <c r="I10" s="17" t="s">
        <v>27</v>
      </c>
      <c r="J10" s="6">
        <v>1686199</v>
      </c>
      <c r="K10" s="6">
        <v>357746</v>
      </c>
      <c r="M10" s="7" t="s">
        <v>37</v>
      </c>
      <c r="N10" s="1" t="s">
        <v>41</v>
      </c>
      <c r="P10" s="7" t="s">
        <v>37</v>
      </c>
      <c r="Q10" s="1" t="s">
        <v>41</v>
      </c>
      <c r="R10" s="1" t="s">
        <v>40</v>
      </c>
      <c r="S10" s="1" t="s">
        <v>39</v>
      </c>
      <c r="T10" s="1" t="s">
        <v>38</v>
      </c>
    </row>
    <row r="11" spans="1:20" x14ac:dyDescent="0.25">
      <c r="A11" s="4" t="s">
        <v>37</v>
      </c>
      <c r="B11" t="s">
        <v>40</v>
      </c>
      <c r="I11" s="17" t="s">
        <v>11</v>
      </c>
      <c r="J11" s="6">
        <v>3320515</v>
      </c>
      <c r="K11" s="6">
        <v>492456</v>
      </c>
      <c r="M11" s="8" t="s">
        <v>12</v>
      </c>
      <c r="N11" s="9">
        <v>348</v>
      </c>
      <c r="P11" s="8" t="s">
        <v>12</v>
      </c>
      <c r="Q11" s="9">
        <v>348</v>
      </c>
      <c r="R11" s="9">
        <v>323311.2</v>
      </c>
      <c r="S11" s="9">
        <v>1616556</v>
      </c>
      <c r="T11" s="9">
        <v>7639824</v>
      </c>
    </row>
    <row r="12" spans="1:20" x14ac:dyDescent="0.25">
      <c r="A12" s="5" t="s">
        <v>12</v>
      </c>
      <c r="B12" s="6">
        <v>323311.2</v>
      </c>
      <c r="E12" s="7" t="s">
        <v>37</v>
      </c>
      <c r="F12" s="1" t="s">
        <v>40</v>
      </c>
      <c r="I12" s="17" t="s">
        <v>24</v>
      </c>
      <c r="J12" s="6">
        <v>658400</v>
      </c>
      <c r="K12" s="6">
        <v>218130</v>
      </c>
      <c r="M12" s="8" t="s">
        <v>16</v>
      </c>
      <c r="N12" s="9">
        <v>316</v>
      </c>
      <c r="P12" s="8" t="s">
        <v>16</v>
      </c>
      <c r="Q12" s="9">
        <v>316</v>
      </c>
      <c r="R12" s="9">
        <v>311992.79999999987</v>
      </c>
      <c r="S12" s="9">
        <v>1559964</v>
      </c>
      <c r="T12" s="9">
        <v>7896972</v>
      </c>
    </row>
    <row r="13" spans="1:20" x14ac:dyDescent="0.25">
      <c r="A13" s="5" t="s">
        <v>16</v>
      </c>
      <c r="B13" s="6">
        <v>311992.79999999987</v>
      </c>
      <c r="E13" s="14" t="s">
        <v>12</v>
      </c>
      <c r="F13" s="10">
        <v>323311.2</v>
      </c>
      <c r="I13" s="17" t="s">
        <v>15</v>
      </c>
      <c r="J13" s="6">
        <v>2231858</v>
      </c>
      <c r="K13" s="6">
        <v>491632</v>
      </c>
      <c r="M13" s="8" t="s">
        <v>22</v>
      </c>
      <c r="N13" s="9">
        <v>499</v>
      </c>
      <c r="P13" s="8" t="s">
        <v>22</v>
      </c>
      <c r="Q13" s="9">
        <v>499</v>
      </c>
      <c r="R13" s="9">
        <v>522853.80000000016</v>
      </c>
      <c r="S13" s="9">
        <v>2614269</v>
      </c>
      <c r="T13" s="9">
        <v>12943334</v>
      </c>
    </row>
    <row r="14" spans="1:20" x14ac:dyDescent="0.25">
      <c r="A14" s="5" t="s">
        <v>22</v>
      </c>
      <c r="B14" s="6">
        <v>522853.80000000016</v>
      </c>
      <c r="E14" s="15" t="s">
        <v>16</v>
      </c>
      <c r="F14" s="13">
        <v>311992.79999999987</v>
      </c>
      <c r="I14" s="5" t="s">
        <v>22</v>
      </c>
      <c r="J14" s="6">
        <v>12943334</v>
      </c>
      <c r="K14" s="6">
        <v>2614269</v>
      </c>
      <c r="M14" s="8" t="s">
        <v>19</v>
      </c>
      <c r="N14" s="9">
        <v>316</v>
      </c>
      <c r="P14" s="8" t="s">
        <v>19</v>
      </c>
      <c r="Q14" s="9">
        <v>316</v>
      </c>
      <c r="R14" s="9">
        <v>374399.19999999995</v>
      </c>
      <c r="S14" s="9">
        <v>1871996</v>
      </c>
      <c r="T14" s="9">
        <v>8746961</v>
      </c>
    </row>
    <row r="15" spans="1:20" x14ac:dyDescent="0.25">
      <c r="A15" s="5" t="s">
        <v>19</v>
      </c>
      <c r="B15" s="6">
        <v>374399.19999999995</v>
      </c>
      <c r="E15" s="15" t="s">
        <v>22</v>
      </c>
      <c r="F15" s="13">
        <v>522853.80000000016</v>
      </c>
      <c r="I15" s="17" t="s">
        <v>27</v>
      </c>
      <c r="J15" s="6">
        <v>2656174</v>
      </c>
      <c r="K15" s="6">
        <v>625468</v>
      </c>
      <c r="M15" s="8" t="s">
        <v>36</v>
      </c>
      <c r="N15" s="9">
        <v>1479</v>
      </c>
      <c r="P15" s="8" t="s">
        <v>36</v>
      </c>
      <c r="Q15" s="9">
        <v>1479</v>
      </c>
      <c r="R15" s="9">
        <v>1532557</v>
      </c>
      <c r="S15" s="9">
        <v>7662785</v>
      </c>
      <c r="T15" s="9">
        <v>37227091</v>
      </c>
    </row>
    <row r="16" spans="1:20" x14ac:dyDescent="0.25">
      <c r="A16" s="5" t="s">
        <v>36</v>
      </c>
      <c r="B16" s="6">
        <v>1532557</v>
      </c>
      <c r="E16" s="16" t="s">
        <v>19</v>
      </c>
      <c r="F16" s="13">
        <v>374399.19999999995</v>
      </c>
      <c r="I16" s="17" t="s">
        <v>11</v>
      </c>
      <c r="J16" s="6">
        <v>4421167</v>
      </c>
      <c r="K16" s="6">
        <v>842967</v>
      </c>
    </row>
    <row r="17" spans="1:19" x14ac:dyDescent="0.25">
      <c r="E17" s="8" t="s">
        <v>36</v>
      </c>
      <c r="F17" s="11">
        <v>1532557</v>
      </c>
      <c r="I17" s="17" t="s">
        <v>24</v>
      </c>
      <c r="J17" s="6">
        <v>2479798</v>
      </c>
      <c r="K17" s="6">
        <v>510788</v>
      </c>
      <c r="M17" s="7" t="s">
        <v>37</v>
      </c>
      <c r="N17" s="1" t="s">
        <v>41</v>
      </c>
      <c r="O17" s="1" t="s">
        <v>40</v>
      </c>
    </row>
    <row r="18" spans="1:19" x14ac:dyDescent="0.25">
      <c r="A18" s="4" t="s">
        <v>37</v>
      </c>
      <c r="B18" t="s">
        <v>38</v>
      </c>
      <c r="C18" t="s">
        <v>39</v>
      </c>
      <c r="I18" s="17" t="s">
        <v>15</v>
      </c>
      <c r="J18" s="6">
        <v>3386195</v>
      </c>
      <c r="K18" s="6">
        <v>635046</v>
      </c>
      <c r="M18" s="8" t="s">
        <v>23</v>
      </c>
      <c r="N18" s="9">
        <v>139</v>
      </c>
      <c r="O18" s="9">
        <v>158415.20000000001</v>
      </c>
      <c r="Q18" s="7" t="s">
        <v>37</v>
      </c>
      <c r="R18" s="1" t="s">
        <v>41</v>
      </c>
      <c r="S18" s="1" t="s">
        <v>39</v>
      </c>
    </row>
    <row r="19" spans="1:19" x14ac:dyDescent="0.25">
      <c r="A19" s="5" t="s">
        <v>23</v>
      </c>
      <c r="B19" s="6">
        <v>3411818</v>
      </c>
      <c r="C19" s="6">
        <v>792076</v>
      </c>
      <c r="E19" s="1" t="s">
        <v>40</v>
      </c>
      <c r="F19" s="1" t="s">
        <v>39</v>
      </c>
      <c r="I19" s="5" t="s">
        <v>19</v>
      </c>
      <c r="J19" s="6">
        <v>8746961</v>
      </c>
      <c r="K19" s="6">
        <v>1871996</v>
      </c>
      <c r="M19" s="8" t="s">
        <v>20</v>
      </c>
      <c r="N19" s="9">
        <v>189</v>
      </c>
      <c r="O19" s="9">
        <v>222017.6</v>
      </c>
      <c r="Q19" s="8" t="s">
        <v>46</v>
      </c>
      <c r="R19" s="9">
        <v>145</v>
      </c>
      <c r="S19" s="9">
        <v>806762</v>
      </c>
    </row>
    <row r="20" spans="1:19" x14ac:dyDescent="0.25">
      <c r="A20" s="5" t="s">
        <v>20</v>
      </c>
      <c r="B20" s="6">
        <v>4666911</v>
      </c>
      <c r="C20" s="6">
        <v>1110088</v>
      </c>
      <c r="E20" s="9">
        <v>1532556.9999999995</v>
      </c>
      <c r="F20" s="9">
        <v>7662785</v>
      </c>
      <c r="I20" s="17" t="s">
        <v>27</v>
      </c>
      <c r="J20" s="6">
        <v>1091726</v>
      </c>
      <c r="K20" s="6">
        <v>239464</v>
      </c>
      <c r="M20" s="8" t="s">
        <v>29</v>
      </c>
      <c r="N20" s="9">
        <v>203</v>
      </c>
      <c r="O20" s="9">
        <v>181844</v>
      </c>
      <c r="Q20" s="8" t="s">
        <v>47</v>
      </c>
      <c r="R20" s="9">
        <v>147</v>
      </c>
      <c r="S20" s="9">
        <v>729074</v>
      </c>
    </row>
    <row r="21" spans="1:19" x14ac:dyDescent="0.25">
      <c r="A21" s="5" t="s">
        <v>29</v>
      </c>
      <c r="B21" s="6">
        <v>4615631</v>
      </c>
      <c r="C21" s="6">
        <v>909220</v>
      </c>
      <c r="I21" s="17" t="s">
        <v>11</v>
      </c>
      <c r="J21" s="6">
        <v>1675652</v>
      </c>
      <c r="K21" s="6">
        <v>361380</v>
      </c>
      <c r="M21" s="8" t="s">
        <v>33</v>
      </c>
      <c r="N21" s="9">
        <v>170</v>
      </c>
      <c r="O21" s="9">
        <v>164794.79999999999</v>
      </c>
      <c r="Q21" s="8" t="s">
        <v>48</v>
      </c>
      <c r="R21" s="9">
        <v>144</v>
      </c>
      <c r="S21" s="9">
        <v>779423</v>
      </c>
    </row>
    <row r="22" spans="1:19" x14ac:dyDescent="0.25">
      <c r="A22" s="5" t="s">
        <v>33</v>
      </c>
      <c r="B22" s="6">
        <v>4302479</v>
      </c>
      <c r="C22" s="6">
        <v>823974</v>
      </c>
      <c r="I22" s="17" t="s">
        <v>24</v>
      </c>
      <c r="J22" s="6">
        <v>2410739</v>
      </c>
      <c r="K22" s="6">
        <v>564193</v>
      </c>
      <c r="M22" s="8" t="s">
        <v>31</v>
      </c>
      <c r="N22" s="9">
        <v>174</v>
      </c>
      <c r="O22" s="9">
        <v>193009.99999999997</v>
      </c>
      <c r="Q22" s="8" t="s">
        <v>42</v>
      </c>
      <c r="R22" s="9">
        <v>162</v>
      </c>
      <c r="S22" s="9">
        <v>603156</v>
      </c>
    </row>
    <row r="23" spans="1:19" x14ac:dyDescent="0.25">
      <c r="A23" s="5" t="s">
        <v>31</v>
      </c>
      <c r="B23" s="6">
        <v>4820115</v>
      </c>
      <c r="C23" s="6">
        <v>965050</v>
      </c>
      <c r="I23" s="17" t="s">
        <v>15</v>
      </c>
      <c r="J23" s="6">
        <v>3568844</v>
      </c>
      <c r="K23" s="6">
        <v>706959</v>
      </c>
      <c r="M23" s="8" t="s">
        <v>28</v>
      </c>
      <c r="N23" s="9">
        <v>224</v>
      </c>
      <c r="O23" s="9">
        <v>202137.99999999997</v>
      </c>
      <c r="Q23" s="8" t="s">
        <v>49</v>
      </c>
      <c r="R23" s="9">
        <v>182</v>
      </c>
      <c r="S23" s="9">
        <v>741636</v>
      </c>
    </row>
    <row r="24" spans="1:19" x14ac:dyDescent="0.25">
      <c r="A24" s="5" t="s">
        <v>28</v>
      </c>
      <c r="B24" s="6">
        <v>4905424</v>
      </c>
      <c r="C24" s="6">
        <v>1010690</v>
      </c>
      <c r="I24" s="5" t="s">
        <v>36</v>
      </c>
      <c r="J24" s="6">
        <v>37227091</v>
      </c>
      <c r="K24" s="6">
        <v>7662785</v>
      </c>
      <c r="M24" s="8" t="s">
        <v>13</v>
      </c>
      <c r="N24" s="9">
        <v>201</v>
      </c>
      <c r="O24" s="9">
        <v>240553.60000000003</v>
      </c>
      <c r="Q24" s="8" t="s">
        <v>50</v>
      </c>
      <c r="R24" s="9">
        <v>137</v>
      </c>
      <c r="S24" s="9">
        <v>782869</v>
      </c>
    </row>
    <row r="25" spans="1:19" x14ac:dyDescent="0.25">
      <c r="A25" s="5" t="s">
        <v>13</v>
      </c>
      <c r="B25" s="6">
        <v>5906260</v>
      </c>
      <c r="C25" s="6">
        <v>1202768</v>
      </c>
      <c r="M25" s="8" t="s">
        <v>17</v>
      </c>
      <c r="N25" s="9">
        <v>179</v>
      </c>
      <c r="O25" s="9">
        <v>169783.80000000002</v>
      </c>
      <c r="Q25" s="8" t="s">
        <v>51</v>
      </c>
      <c r="R25" s="9">
        <v>120</v>
      </c>
      <c r="S25" s="9">
        <v>890046</v>
      </c>
    </row>
    <row r="26" spans="1:19" x14ac:dyDescent="0.25">
      <c r="A26" s="5" t="s">
        <v>17</v>
      </c>
      <c r="B26" s="6">
        <v>4598453</v>
      </c>
      <c r="C26" s="6">
        <v>848919</v>
      </c>
      <c r="M26" s="8" t="s">
        <v>36</v>
      </c>
      <c r="N26" s="9">
        <v>1479</v>
      </c>
      <c r="O26" s="9">
        <v>1532557.0000000002</v>
      </c>
      <c r="Q26" s="8" t="s">
        <v>52</v>
      </c>
      <c r="R26" s="9">
        <v>170</v>
      </c>
      <c r="S26" s="9">
        <v>824137</v>
      </c>
    </row>
    <row r="27" spans="1:19" x14ac:dyDescent="0.25">
      <c r="A27" s="5" t="s">
        <v>36</v>
      </c>
      <c r="B27" s="6">
        <v>37227091</v>
      </c>
      <c r="C27" s="6">
        <v>7662785</v>
      </c>
      <c r="Q27" s="8" t="s">
        <v>53</v>
      </c>
      <c r="R27" s="9">
        <v>136</v>
      </c>
      <c r="S27" s="9">
        <v>869638</v>
      </c>
    </row>
    <row r="28" spans="1:19" x14ac:dyDescent="0.25">
      <c r="I28" s="4" t="s">
        <v>37</v>
      </c>
      <c r="J28" t="s">
        <v>39</v>
      </c>
      <c r="K28" t="s">
        <v>40</v>
      </c>
      <c r="M28" s="7" t="s">
        <v>37</v>
      </c>
      <c r="N28" s="1" t="s">
        <v>41</v>
      </c>
      <c r="Q28" s="8" t="s">
        <v>54</v>
      </c>
      <c r="R28" s="9">
        <v>136</v>
      </c>
      <c r="S28" s="9">
        <v>636044</v>
      </c>
    </row>
    <row r="29" spans="1:19" x14ac:dyDescent="0.25">
      <c r="I29" s="5" t="s">
        <v>27</v>
      </c>
      <c r="J29" s="6">
        <v>1586856</v>
      </c>
      <c r="K29" s="6">
        <v>317371.19999999984</v>
      </c>
      <c r="M29" s="8" t="s">
        <v>27</v>
      </c>
      <c r="N29" s="9">
        <v>307</v>
      </c>
      <c r="Q29" s="8" t="s">
        <v>36</v>
      </c>
      <c r="R29" s="9">
        <v>1479</v>
      </c>
      <c r="S29" s="9">
        <v>7662785</v>
      </c>
    </row>
    <row r="30" spans="1:19" x14ac:dyDescent="0.25">
      <c r="I30" s="5" t="s">
        <v>11</v>
      </c>
      <c r="J30" s="6">
        <v>2077957</v>
      </c>
      <c r="K30" s="6">
        <v>415591.40000000008</v>
      </c>
      <c r="M30" s="8" t="s">
        <v>11</v>
      </c>
      <c r="N30" s="9">
        <v>393</v>
      </c>
    </row>
    <row r="31" spans="1:19" x14ac:dyDescent="0.25">
      <c r="I31" s="5" t="s">
        <v>24</v>
      </c>
      <c r="J31" s="6">
        <v>1849297</v>
      </c>
      <c r="K31" s="6">
        <v>369859.39999999997</v>
      </c>
      <c r="M31" s="8" t="s">
        <v>24</v>
      </c>
      <c r="N31" s="9">
        <v>363</v>
      </c>
    </row>
    <row r="32" spans="1:19" x14ac:dyDescent="0.25">
      <c r="I32" s="5" t="s">
        <v>15</v>
      </c>
      <c r="J32" s="6">
        <v>2148675</v>
      </c>
      <c r="K32" s="6">
        <v>429735.00000000017</v>
      </c>
      <c r="M32" s="8" t="s">
        <v>15</v>
      </c>
      <c r="N32" s="9">
        <v>416</v>
      </c>
    </row>
    <row r="33" spans="9:14" x14ac:dyDescent="0.25">
      <c r="I33" s="5" t="s">
        <v>36</v>
      </c>
      <c r="J33" s="6">
        <v>7662785</v>
      </c>
      <c r="K33" s="6">
        <v>1532557</v>
      </c>
      <c r="M33" s="8" t="s">
        <v>36</v>
      </c>
      <c r="N33" s="9">
        <v>1479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DE29-A2FD-426A-928A-7C9AFF2EB159}">
  <dimension ref="A1"/>
  <sheetViews>
    <sheetView showGridLines="0" workbookViewId="0"/>
  </sheetViews>
  <sheetFormatPr defaultRowHeight="15" x14ac:dyDescent="0.25"/>
  <sheetData>
    <row r="1" spans="1:1" x14ac:dyDescent="0.25">
      <c r="A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AC4C-67CE-49A6-9B7E-B1A5571A70D1}">
  <dimension ref="A3:P29"/>
  <sheetViews>
    <sheetView workbookViewId="0">
      <selection activeCell="N17" sqref="N17"/>
    </sheetView>
  </sheetViews>
  <sheetFormatPr defaultRowHeight="15" x14ac:dyDescent="0.25"/>
  <cols>
    <col min="1" max="1" width="13.140625" bestFit="1" customWidth="1"/>
    <col min="2" max="2" width="15.42578125" bestFit="1" customWidth="1"/>
    <col min="4" max="4" width="13.140625" bestFit="1" customWidth="1"/>
    <col min="5" max="6" width="12.140625" bestFit="1" customWidth="1"/>
    <col min="7" max="7" width="13.140625" bestFit="1" customWidth="1"/>
    <col min="8" max="8" width="16.28515625" bestFit="1" customWidth="1"/>
    <col min="9" max="9" width="11.28515625" bestFit="1" customWidth="1"/>
    <col min="10" max="10" width="13.140625" bestFit="1" customWidth="1"/>
    <col min="11" max="11" width="12.5703125" bestFit="1" customWidth="1"/>
    <col min="12" max="12" width="12.140625" bestFit="1" customWidth="1"/>
    <col min="14" max="14" width="13.140625" bestFit="1" customWidth="1"/>
    <col min="15" max="15" width="12.5703125" bestFit="1" customWidth="1"/>
    <col min="16" max="17" width="12.140625" bestFit="1" customWidth="1"/>
    <col min="18" max="18" width="9" bestFit="1" customWidth="1"/>
    <col min="19" max="19" width="7" bestFit="1" customWidth="1"/>
    <col min="20" max="20" width="10.85546875" bestFit="1" customWidth="1"/>
    <col min="21" max="22" width="9" bestFit="1" customWidth="1"/>
    <col min="23" max="23" width="11.28515625" bestFit="1" customWidth="1"/>
  </cols>
  <sheetData>
    <row r="3" spans="1:16" x14ac:dyDescent="0.25">
      <c r="A3" s="4" t="s">
        <v>37</v>
      </c>
      <c r="B3" t="s">
        <v>40</v>
      </c>
      <c r="D3" s="4" t="s">
        <v>37</v>
      </c>
      <c r="E3" t="s">
        <v>39</v>
      </c>
      <c r="G3" s="4" t="s">
        <v>40</v>
      </c>
      <c r="H3" s="4" t="s">
        <v>60</v>
      </c>
      <c r="N3" s="4" t="s">
        <v>37</v>
      </c>
      <c r="O3" t="s">
        <v>40</v>
      </c>
      <c r="P3" t="s">
        <v>39</v>
      </c>
    </row>
    <row r="4" spans="1:16" x14ac:dyDescent="0.25">
      <c r="A4" s="5" t="s">
        <v>27</v>
      </c>
      <c r="B4" s="6">
        <v>317371.19999999984</v>
      </c>
      <c r="D4" s="5" t="s">
        <v>23</v>
      </c>
      <c r="E4" s="6">
        <v>792076</v>
      </c>
      <c r="G4" s="4" t="s">
        <v>37</v>
      </c>
      <c r="H4" t="s">
        <v>55</v>
      </c>
      <c r="I4" t="s">
        <v>56</v>
      </c>
      <c r="J4" t="s">
        <v>57</v>
      </c>
      <c r="K4" t="s">
        <v>58</v>
      </c>
      <c r="L4" t="s">
        <v>36</v>
      </c>
      <c r="N4" s="5" t="s">
        <v>23</v>
      </c>
      <c r="O4" s="6">
        <v>158415.20000000001</v>
      </c>
      <c r="P4" s="6">
        <v>792076</v>
      </c>
    </row>
    <row r="5" spans="1:16" x14ac:dyDescent="0.25">
      <c r="A5" s="5" t="s">
        <v>11</v>
      </c>
      <c r="B5" s="6">
        <v>415591.40000000008</v>
      </c>
      <c r="D5" s="5" t="s">
        <v>20</v>
      </c>
      <c r="E5" s="6">
        <v>1110088</v>
      </c>
      <c r="G5" s="5" t="s">
        <v>27</v>
      </c>
      <c r="H5" s="6">
        <v>83432.800000000003</v>
      </c>
      <c r="I5" s="6">
        <v>94297.2</v>
      </c>
      <c r="J5" s="6">
        <v>63357.80000000001</v>
      </c>
      <c r="K5" s="6">
        <v>76283.400000000009</v>
      </c>
      <c r="L5" s="6">
        <v>317371.2</v>
      </c>
      <c r="N5" s="5" t="s">
        <v>20</v>
      </c>
      <c r="O5" s="6">
        <v>222017.6</v>
      </c>
      <c r="P5" s="6">
        <v>1110088</v>
      </c>
    </row>
    <row r="6" spans="1:16" x14ac:dyDescent="0.25">
      <c r="A6" s="5" t="s">
        <v>24</v>
      </c>
      <c r="B6" s="6">
        <v>369859.39999999997</v>
      </c>
      <c r="D6" s="5" t="s">
        <v>29</v>
      </c>
      <c r="E6" s="6">
        <v>909220</v>
      </c>
      <c r="G6" s="5" t="s">
        <v>11</v>
      </c>
      <c r="H6" s="6">
        <v>134844</v>
      </c>
      <c r="I6" s="6">
        <v>111108.19999999998</v>
      </c>
      <c r="J6" s="6">
        <v>110765.6</v>
      </c>
      <c r="K6" s="6">
        <v>58873.600000000006</v>
      </c>
      <c r="L6" s="6">
        <v>415591.4</v>
      </c>
      <c r="N6" s="5" t="s">
        <v>29</v>
      </c>
      <c r="O6" s="6">
        <v>181844</v>
      </c>
      <c r="P6" s="6">
        <v>909220</v>
      </c>
    </row>
    <row r="7" spans="1:16" x14ac:dyDescent="0.25">
      <c r="A7" s="5" t="s">
        <v>15</v>
      </c>
      <c r="B7" s="6">
        <v>429735.00000000017</v>
      </c>
      <c r="D7" s="5" t="s">
        <v>33</v>
      </c>
      <c r="E7" s="6">
        <v>823974</v>
      </c>
      <c r="G7" s="5" t="s">
        <v>24</v>
      </c>
      <c r="H7" s="6">
        <v>54303.600000000013</v>
      </c>
      <c r="I7" s="6">
        <v>119556</v>
      </c>
      <c r="J7" s="6">
        <v>93212.60000000002</v>
      </c>
      <c r="K7" s="6">
        <v>102787.19999999997</v>
      </c>
      <c r="L7" s="6">
        <v>369859.39999999997</v>
      </c>
      <c r="N7" s="5" t="s">
        <v>33</v>
      </c>
      <c r="O7" s="6">
        <v>164794.79999999999</v>
      </c>
      <c r="P7" s="6">
        <v>823974</v>
      </c>
    </row>
    <row r="8" spans="1:16" x14ac:dyDescent="0.25">
      <c r="A8" s="5" t="s">
        <v>36</v>
      </c>
      <c r="B8" s="6">
        <v>1532557</v>
      </c>
      <c r="D8" s="5" t="s">
        <v>31</v>
      </c>
      <c r="E8" s="6">
        <v>965050</v>
      </c>
      <c r="G8" s="5" t="s">
        <v>15</v>
      </c>
      <c r="H8" s="6">
        <v>94329.60000000002</v>
      </c>
      <c r="I8" s="6">
        <v>97670.39999999998</v>
      </c>
      <c r="J8" s="6">
        <v>99108.599999999991</v>
      </c>
      <c r="K8" s="6">
        <v>138626.4</v>
      </c>
      <c r="L8" s="6">
        <v>429735</v>
      </c>
      <c r="N8" s="5" t="s">
        <v>31</v>
      </c>
      <c r="O8" s="6">
        <v>193009.99999999997</v>
      </c>
      <c r="P8" s="6">
        <v>965050</v>
      </c>
    </row>
    <row r="9" spans="1:16" x14ac:dyDescent="0.25">
      <c r="D9" s="5" t="s">
        <v>28</v>
      </c>
      <c r="E9" s="6">
        <v>1010690</v>
      </c>
      <c r="G9" s="5" t="s">
        <v>36</v>
      </c>
      <c r="H9" s="6">
        <v>366910.00000000006</v>
      </c>
      <c r="I9" s="6">
        <v>422631.79999999993</v>
      </c>
      <c r="J9" s="6">
        <v>366444.60000000003</v>
      </c>
      <c r="K9" s="6">
        <v>376570.6</v>
      </c>
      <c r="L9" s="6">
        <v>1532557</v>
      </c>
      <c r="N9" s="5" t="s">
        <v>28</v>
      </c>
      <c r="O9" s="6">
        <v>202137.99999999997</v>
      </c>
      <c r="P9" s="6">
        <v>1010690</v>
      </c>
    </row>
    <row r="10" spans="1:16" x14ac:dyDescent="0.25">
      <c r="A10" s="4" t="s">
        <v>37</v>
      </c>
      <c r="B10" t="s">
        <v>39</v>
      </c>
      <c r="D10" s="5" t="s">
        <v>13</v>
      </c>
      <c r="E10" s="6">
        <v>1202768</v>
      </c>
      <c r="N10" s="5" t="s">
        <v>13</v>
      </c>
      <c r="O10" s="6">
        <v>240553.60000000003</v>
      </c>
      <c r="P10" s="6">
        <v>1202768</v>
      </c>
    </row>
    <row r="11" spans="1:16" x14ac:dyDescent="0.25">
      <c r="A11" s="5" t="s">
        <v>27</v>
      </c>
      <c r="B11" s="6">
        <v>1586856</v>
      </c>
      <c r="D11" s="5" t="s">
        <v>17</v>
      </c>
      <c r="E11" s="6">
        <v>848919</v>
      </c>
      <c r="J11" s="4" t="s">
        <v>37</v>
      </c>
      <c r="K11" t="s">
        <v>40</v>
      </c>
      <c r="L11" t="s">
        <v>39</v>
      </c>
      <c r="N11" s="5" t="s">
        <v>17</v>
      </c>
      <c r="O11" s="6">
        <v>169783.80000000002</v>
      </c>
      <c r="P11" s="6">
        <v>848919</v>
      </c>
    </row>
    <row r="12" spans="1:16" x14ac:dyDescent="0.25">
      <c r="A12" s="5" t="s">
        <v>11</v>
      </c>
      <c r="B12" s="6">
        <v>2077957</v>
      </c>
      <c r="D12" s="5" t="s">
        <v>36</v>
      </c>
      <c r="E12" s="6">
        <v>7662785</v>
      </c>
      <c r="J12" s="5" t="s">
        <v>27</v>
      </c>
      <c r="K12" s="6">
        <v>317371.19999999984</v>
      </c>
      <c r="L12" s="6">
        <v>1586856</v>
      </c>
      <c r="N12" s="5" t="s">
        <v>36</v>
      </c>
      <c r="O12" s="6">
        <v>1532557.0000000002</v>
      </c>
      <c r="P12" s="6">
        <v>7662785</v>
      </c>
    </row>
    <row r="13" spans="1:16" x14ac:dyDescent="0.25">
      <c r="A13" s="5" t="s">
        <v>24</v>
      </c>
      <c r="B13" s="6">
        <v>1849297</v>
      </c>
      <c r="J13" s="5" t="s">
        <v>11</v>
      </c>
      <c r="K13" s="6">
        <v>415591.40000000008</v>
      </c>
      <c r="L13" s="6">
        <v>2077957</v>
      </c>
    </row>
    <row r="14" spans="1:16" x14ac:dyDescent="0.25">
      <c r="A14" s="5" t="s">
        <v>15</v>
      </c>
      <c r="B14" s="6">
        <v>2148675</v>
      </c>
      <c r="D14" s="4" t="s">
        <v>37</v>
      </c>
      <c r="E14" t="s">
        <v>40</v>
      </c>
      <c r="J14" s="5" t="s">
        <v>24</v>
      </c>
      <c r="K14" s="6">
        <v>369859.39999999997</v>
      </c>
      <c r="L14" s="6">
        <v>1849297</v>
      </c>
    </row>
    <row r="15" spans="1:16" x14ac:dyDescent="0.25">
      <c r="A15" s="5" t="s">
        <v>36</v>
      </c>
      <c r="B15" s="6">
        <v>7662785</v>
      </c>
      <c r="D15" s="5" t="s">
        <v>55</v>
      </c>
      <c r="E15" s="6">
        <v>366909.99999999994</v>
      </c>
      <c r="J15" s="5" t="s">
        <v>15</v>
      </c>
      <c r="K15" s="6">
        <v>429735.00000000017</v>
      </c>
      <c r="L15" s="6">
        <v>2148675</v>
      </c>
    </row>
    <row r="16" spans="1:16" x14ac:dyDescent="0.25">
      <c r="D16" s="5" t="s">
        <v>56</v>
      </c>
      <c r="E16" s="6">
        <v>422631.80000000005</v>
      </c>
      <c r="J16" s="5" t="s">
        <v>36</v>
      </c>
      <c r="K16" s="6">
        <v>1532557</v>
      </c>
      <c r="L16" s="6">
        <v>7662785</v>
      </c>
    </row>
    <row r="17" spans="1:16" x14ac:dyDescent="0.25">
      <c r="A17" s="4" t="s">
        <v>37</v>
      </c>
      <c r="B17" t="s">
        <v>41</v>
      </c>
      <c r="D17" s="5" t="s">
        <v>57</v>
      </c>
      <c r="E17" s="6">
        <v>366444.59999999992</v>
      </c>
      <c r="N17" s="4" t="s">
        <v>37</v>
      </c>
      <c r="O17" t="s">
        <v>39</v>
      </c>
      <c r="P17" t="s">
        <v>40</v>
      </c>
    </row>
    <row r="18" spans="1:16" x14ac:dyDescent="0.25">
      <c r="A18" s="5" t="s">
        <v>27</v>
      </c>
      <c r="B18" s="6">
        <v>307</v>
      </c>
      <c r="D18" s="5" t="s">
        <v>58</v>
      </c>
      <c r="E18" s="6">
        <v>376570.60000000015</v>
      </c>
      <c r="J18" s="4" t="s">
        <v>37</v>
      </c>
      <c r="K18" t="s">
        <v>39</v>
      </c>
      <c r="L18" t="s">
        <v>38</v>
      </c>
      <c r="N18" s="5" t="s">
        <v>46</v>
      </c>
      <c r="O18" s="6">
        <v>806762</v>
      </c>
      <c r="P18" s="6">
        <v>161352.39999999997</v>
      </c>
    </row>
    <row r="19" spans="1:16" x14ac:dyDescent="0.25">
      <c r="A19" s="5" t="s">
        <v>11</v>
      </c>
      <c r="B19" s="6">
        <v>393</v>
      </c>
      <c r="D19" s="5" t="s">
        <v>36</v>
      </c>
      <c r="E19" s="6">
        <v>1532557</v>
      </c>
      <c r="J19" s="5" t="s">
        <v>46</v>
      </c>
      <c r="K19" s="6">
        <v>806762</v>
      </c>
      <c r="L19" s="6">
        <v>4046530</v>
      </c>
      <c r="N19" s="5" t="s">
        <v>47</v>
      </c>
      <c r="O19" s="6">
        <v>729074</v>
      </c>
      <c r="P19" s="6">
        <v>145814.79999999999</v>
      </c>
    </row>
    <row r="20" spans="1:16" x14ac:dyDescent="0.25">
      <c r="A20" s="5" t="s">
        <v>24</v>
      </c>
      <c r="B20" s="6">
        <v>363</v>
      </c>
      <c r="J20" s="5" t="s">
        <v>47</v>
      </c>
      <c r="K20" s="6">
        <v>729074</v>
      </c>
      <c r="L20" s="6">
        <v>3464433</v>
      </c>
      <c r="N20" s="5" t="s">
        <v>48</v>
      </c>
      <c r="O20" s="6">
        <v>779423</v>
      </c>
      <c r="P20" s="6">
        <v>155884.60000000003</v>
      </c>
    </row>
    <row r="21" spans="1:16" x14ac:dyDescent="0.25">
      <c r="A21" s="5" t="s">
        <v>15</v>
      </c>
      <c r="B21" s="6">
        <v>416</v>
      </c>
      <c r="D21" s="4" t="s">
        <v>37</v>
      </c>
      <c r="E21" t="s">
        <v>39</v>
      </c>
      <c r="J21" s="5" t="s">
        <v>48</v>
      </c>
      <c r="K21" s="6">
        <v>779423</v>
      </c>
      <c r="L21" s="6">
        <v>3715672</v>
      </c>
      <c r="N21" s="5" t="s">
        <v>42</v>
      </c>
      <c r="O21" s="6">
        <v>603156</v>
      </c>
      <c r="P21" s="6">
        <v>120631.19999999997</v>
      </c>
    </row>
    <row r="22" spans="1:16" x14ac:dyDescent="0.25">
      <c r="A22" s="5" t="s">
        <v>36</v>
      </c>
      <c r="B22" s="6">
        <v>1479</v>
      </c>
      <c r="D22" s="5" t="s">
        <v>55</v>
      </c>
      <c r="E22" s="6">
        <v>1834550</v>
      </c>
      <c r="G22" s="19" t="s">
        <v>43</v>
      </c>
      <c r="H22" s="20">
        <f>GETPIVOTDATA("Sales",$A$10)</f>
        <v>7662785</v>
      </c>
      <c r="J22" s="5" t="s">
        <v>42</v>
      </c>
      <c r="K22" s="6">
        <v>603156</v>
      </c>
      <c r="L22" s="6">
        <v>3300867</v>
      </c>
      <c r="N22" s="5" t="s">
        <v>49</v>
      </c>
      <c r="O22" s="6">
        <v>741636</v>
      </c>
      <c r="P22" s="6">
        <v>148327.19999999998</v>
      </c>
    </row>
    <row r="23" spans="1:16" x14ac:dyDescent="0.25">
      <c r="D23" s="5" t="s">
        <v>56</v>
      </c>
      <c r="E23" s="6">
        <v>2113159</v>
      </c>
      <c r="G23" s="19" t="s">
        <v>45</v>
      </c>
      <c r="H23" s="20">
        <f>GETPIVOTDATA("Profit",$A$3)</f>
        <v>1532557</v>
      </c>
      <c r="J23" s="5" t="s">
        <v>49</v>
      </c>
      <c r="K23" s="6">
        <v>741636</v>
      </c>
      <c r="L23" s="6">
        <v>4461095</v>
      </c>
      <c r="N23" s="5" t="s">
        <v>50</v>
      </c>
      <c r="O23" s="6">
        <v>782869</v>
      </c>
      <c r="P23" s="6">
        <v>156573.80000000002</v>
      </c>
    </row>
    <row r="24" spans="1:16" x14ac:dyDescent="0.25">
      <c r="A24" s="4" t="s">
        <v>37</v>
      </c>
      <c r="B24" t="s">
        <v>63</v>
      </c>
      <c r="D24" s="5" t="s">
        <v>57</v>
      </c>
      <c r="E24" s="6">
        <v>1832223</v>
      </c>
      <c r="G24" s="19" t="s">
        <v>44</v>
      </c>
      <c r="H24" s="20">
        <f>GETPIVOTDATA("Quantity",$A$17)</f>
        <v>1479</v>
      </c>
      <c r="J24" s="5" t="s">
        <v>50</v>
      </c>
      <c r="K24" s="6">
        <v>782869</v>
      </c>
      <c r="L24" s="6">
        <v>3463484</v>
      </c>
      <c r="N24" s="5" t="s">
        <v>51</v>
      </c>
      <c r="O24" s="6">
        <v>890046</v>
      </c>
      <c r="P24" s="6">
        <v>178009.20000000004</v>
      </c>
    </row>
    <row r="25" spans="1:16" x14ac:dyDescent="0.25">
      <c r="A25" s="5" t="s">
        <v>27</v>
      </c>
      <c r="B25" s="6">
        <v>7492569</v>
      </c>
      <c r="D25" s="5" t="s">
        <v>58</v>
      </c>
      <c r="E25" s="6">
        <v>1882853</v>
      </c>
      <c r="G25" s="19" t="s">
        <v>61</v>
      </c>
      <c r="H25" s="20"/>
      <c r="J25" s="5" t="s">
        <v>51</v>
      </c>
      <c r="K25" s="6">
        <v>890046</v>
      </c>
      <c r="L25" s="6">
        <v>3323401</v>
      </c>
      <c r="N25" s="5" t="s">
        <v>52</v>
      </c>
      <c r="O25" s="6">
        <v>824137</v>
      </c>
      <c r="P25" s="6">
        <v>164827.39999999997</v>
      </c>
    </row>
    <row r="26" spans="1:16" x14ac:dyDescent="0.25">
      <c r="A26" s="5" t="s">
        <v>11</v>
      </c>
      <c r="B26" s="6">
        <v>10716184</v>
      </c>
      <c r="D26" s="5" t="s">
        <v>36</v>
      </c>
      <c r="E26" s="6">
        <v>7662785</v>
      </c>
      <c r="G26" s="19" t="s">
        <v>62</v>
      </c>
      <c r="H26" s="20"/>
      <c r="J26" s="5" t="s">
        <v>52</v>
      </c>
      <c r="K26" s="6">
        <v>824137</v>
      </c>
      <c r="L26" s="6">
        <v>4289705</v>
      </c>
      <c r="N26" s="5" t="s">
        <v>53</v>
      </c>
      <c r="O26" s="6">
        <v>869638</v>
      </c>
      <c r="P26" s="6">
        <v>173927.59999999998</v>
      </c>
    </row>
    <row r="27" spans="1:16" x14ac:dyDescent="0.25">
      <c r="A27" s="5" t="s">
        <v>24</v>
      </c>
      <c r="B27" s="6">
        <v>8149763</v>
      </c>
      <c r="J27" s="5" t="s">
        <v>53</v>
      </c>
      <c r="K27" s="6">
        <v>869638</v>
      </c>
      <c r="L27" s="6">
        <v>3898469</v>
      </c>
      <c r="N27" s="5" t="s">
        <v>54</v>
      </c>
      <c r="O27" s="6">
        <v>636044</v>
      </c>
      <c r="P27" s="6">
        <v>127208.8</v>
      </c>
    </row>
    <row r="28" spans="1:16" x14ac:dyDescent="0.25">
      <c r="A28" s="5" t="s">
        <v>15</v>
      </c>
      <c r="B28" s="6">
        <v>10868575</v>
      </c>
      <c r="J28" s="5" t="s">
        <v>54</v>
      </c>
      <c r="K28" s="6">
        <v>636044</v>
      </c>
      <c r="L28" s="6">
        <v>3263435</v>
      </c>
      <c r="N28" s="5" t="s">
        <v>36</v>
      </c>
      <c r="O28" s="6">
        <v>7662785</v>
      </c>
      <c r="P28" s="6">
        <v>1532556.9999999998</v>
      </c>
    </row>
    <row r="29" spans="1:16" x14ac:dyDescent="0.25">
      <c r="A29" s="5" t="s">
        <v>36</v>
      </c>
      <c r="B29" s="6">
        <v>37227091</v>
      </c>
      <c r="J29" s="5" t="s">
        <v>36</v>
      </c>
      <c r="K29" s="6">
        <v>7662785</v>
      </c>
      <c r="L29" s="6">
        <v>37227091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09EC2-C032-45FF-8613-3F16EBC43E1A}">
  <dimension ref="A1"/>
  <sheetViews>
    <sheetView showGridLines="0" tabSelected="1" workbookViewId="0">
      <selection sqref="A1:AD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sales_data_large</vt:lpstr>
      <vt:lpstr>Pivot Tables</vt:lpstr>
      <vt:lpstr>Dashboard</vt:lpstr>
      <vt:lpstr>Pivot Table-1</vt:lpstr>
      <vt:lpstr>Dashboard - 1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ASDC38</dc:creator>
  <cp:lastModifiedBy>ASDC38</cp:lastModifiedBy>
  <dcterms:created xsi:type="dcterms:W3CDTF">2026-02-22T04:31:37Z</dcterms:created>
  <dcterms:modified xsi:type="dcterms:W3CDTF">2026-07-08T11:39:46Z</dcterms:modified>
</cp:coreProperties>
</file>